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Summary" sheetId="2" state="visible" r:id="rId4"/>
  </sheets>
  <definedNames>
    <definedName function="false" hidden="true" localSheetId="0" name="_xlnm._FilterDatabase" vbProcedure="false">Transactions!$A$1:$K$201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<sst xmlns="http://schemas.openxmlformats.org/spreadsheetml/2006/main" count="1590" uniqueCount="433">
  <si>
    <t xml:space="preserve">Invoice #</t>
  </si>
  <si>
    <t xml:space="preserve">Transaction Date</t>
  </si>
  <si>
    <t xml:space="preserve">Due Date</t>
  </si>
  <si>
    <t xml:space="preserve">Type</t>
  </si>
  <si>
    <t xml:space="preserve">Category</t>
  </si>
  <si>
    <t xml:space="preserve">Vendor / Client</t>
  </si>
  <si>
    <t xml:space="preserve">Description</t>
  </si>
  <si>
    <t xml:space="preserve">Amount ($)</t>
  </si>
  <si>
    <t xml:space="preserve">Status</t>
  </si>
  <si>
    <t xml:space="preserve">Assigned To</t>
  </si>
  <si>
    <t xml:space="preserve">Notes</t>
  </si>
  <si>
    <t xml:space="preserve">WC-83519</t>
  </si>
  <si>
    <t xml:space="preserve">Expense</t>
  </si>
  <si>
    <t xml:space="preserve">Office Supplies</t>
  </si>
  <si>
    <t xml:space="preserve">Feud Road Security</t>
  </si>
  <si>
    <t xml:space="preserve">Office Supplies – Feud contract</t>
  </si>
  <si>
    <t xml:space="preserve">Paid</t>
  </si>
  <si>
    <t xml:space="preserve">Sophia Grangerford</t>
  </si>
  <si>
    <t xml:space="preserve">Net 30</t>
  </si>
  <si>
    <t xml:space="preserve">WC-82848</t>
  </si>
  <si>
    <t xml:space="preserve">Charity Hill Consulting</t>
  </si>
  <si>
    <t xml:space="preserve">Office Supplies – Charity contract</t>
  </si>
  <si>
    <t xml:space="preserve">Overdue</t>
  </si>
  <si>
    <t xml:space="preserve">One-time charge</t>
  </si>
  <si>
    <t xml:space="preserve">WC-27275</t>
  </si>
  <si>
    <t xml:space="preserve">Client Billing</t>
  </si>
  <si>
    <t xml:space="preserve">Research &amp; Analysis</t>
  </si>
  <si>
    <t xml:space="preserve">Clemens Family Trust</t>
  </si>
  <si>
    <t xml:space="preserve">Research &amp; Analysis engagement</t>
  </si>
  <si>
    <t xml:space="preserve">Widow Douglas</t>
  </si>
  <si>
    <t xml:space="preserve">WC-57425</t>
  </si>
  <si>
    <t xml:space="preserve">Training &amp; Development</t>
  </si>
  <si>
    <t xml:space="preserve">London Export Partners</t>
  </si>
  <si>
    <t xml:space="preserve">Training &amp; Development engagement</t>
  </si>
  <si>
    <t xml:space="preserve">Mr. Dobbins</t>
  </si>
  <si>
    <t xml:space="preserve">Awaiting signature</t>
  </si>
  <si>
    <t xml:space="preserve">WC-25915</t>
  </si>
  <si>
    <t xml:space="preserve">Strategy Workshop</t>
  </si>
  <si>
    <t xml:space="preserve">England Heritage Trust</t>
  </si>
  <si>
    <t xml:space="preserve">Strategy Workshop engagement</t>
  </si>
  <si>
    <t xml:space="preserve">Amy Lawrence</t>
  </si>
  <si>
    <t xml:space="preserve">Approved by mgmt</t>
  </si>
  <si>
    <t xml:space="preserve">WC-92991</t>
  </si>
  <si>
    <t xml:space="preserve">River Valley Enterprises</t>
  </si>
  <si>
    <t xml:space="preserve">Joe Harper</t>
  </si>
  <si>
    <t xml:space="preserve">PO required</t>
  </si>
  <si>
    <t xml:space="preserve">WC-48175</t>
  </si>
  <si>
    <t xml:space="preserve">Utilities</t>
  </si>
  <si>
    <t xml:space="preserve">Fancy Hat Marketing</t>
  </si>
  <si>
    <t xml:space="preserve">Utilities – Fancy contract</t>
  </si>
  <si>
    <t xml:space="preserve">Becky Thatcher</t>
  </si>
  <si>
    <t xml:space="preserve">WC-79013</t>
  </si>
  <si>
    <t xml:space="preserve">Grangerford-Shepherdson LLC</t>
  </si>
  <si>
    <t xml:space="preserve">Recurring contract</t>
  </si>
  <si>
    <t xml:space="preserve">WC-85529</t>
  </si>
  <si>
    <t xml:space="preserve">Maintenance</t>
  </si>
  <si>
    <t xml:space="preserve">Poorhouse Utilities</t>
  </si>
  <si>
    <t xml:space="preserve">Maintenance – Poorhouse contract</t>
  </si>
  <si>
    <t xml:space="preserve">Auto-renew</t>
  </si>
  <si>
    <t xml:space="preserve">WC-67366</t>
  </si>
  <si>
    <t xml:space="preserve">Campaign Execution</t>
  </si>
  <si>
    <t xml:space="preserve">Pirate Cove Marine LLC</t>
  </si>
  <si>
    <t xml:space="preserve">Campaign Execution engagement</t>
  </si>
  <si>
    <t xml:space="preserve">Judge Thatcher</t>
  </si>
  <si>
    <t xml:space="preserve">WC-22833</t>
  </si>
  <si>
    <t xml:space="preserve">Saloon Street Hospitality</t>
  </si>
  <si>
    <t xml:space="preserve">Office Supplies – Saloon contract</t>
  </si>
  <si>
    <t xml:space="preserve">WC-64381</t>
  </si>
  <si>
    <t xml:space="preserve">Ben Rogers</t>
  </si>
  <si>
    <t xml:space="preserve">WC-87518</t>
  </si>
  <si>
    <t xml:space="preserve">Project Management</t>
  </si>
  <si>
    <t xml:space="preserve">Project Management engagement</t>
  </si>
  <si>
    <t xml:space="preserve">Huckleberry Finn</t>
  </si>
  <si>
    <t xml:space="preserve">WC-30635</t>
  </si>
  <si>
    <t xml:space="preserve">Travel &amp; Lodging</t>
  </si>
  <si>
    <t xml:space="preserve">Pirate Cove Catering</t>
  </si>
  <si>
    <t xml:space="preserve">Travel &amp; Lodging – Pirate contract</t>
  </si>
  <si>
    <t xml:space="preserve">Sandy Girl</t>
  </si>
  <si>
    <t xml:space="preserve">WC-72163</t>
  </si>
  <si>
    <t xml:space="preserve">Mississippi County Gov.</t>
  </si>
  <si>
    <t xml:space="preserve">Judith Loftus</t>
  </si>
  <si>
    <t xml:space="preserve">WC-95215</t>
  </si>
  <si>
    <t xml:space="preserve">Software Subscription</t>
  </si>
  <si>
    <t xml:space="preserve">Software Subscription – Charity contract</t>
  </si>
  <si>
    <t xml:space="preserve">King Fraud</t>
  </si>
  <si>
    <t xml:space="preserve">WC-28643</t>
  </si>
  <si>
    <t xml:space="preserve">Apple Bite Subscriptions</t>
  </si>
  <si>
    <t xml:space="preserve">Travel &amp; Lodging – Apple contract</t>
  </si>
  <si>
    <t xml:space="preserve">Merlin Wizard</t>
  </si>
  <si>
    <t xml:space="preserve">See attached SOW</t>
  </si>
  <si>
    <t xml:space="preserve">WC-47627</t>
  </si>
  <si>
    <t xml:space="preserve">Audit Services</t>
  </si>
  <si>
    <t xml:space="preserve">Schoolboard of Hannibal</t>
  </si>
  <si>
    <t xml:space="preserve">Audit Services engagement</t>
  </si>
  <si>
    <t xml:space="preserve">Edward Tudor</t>
  </si>
  <si>
    <t xml:space="preserve">WC-78676</t>
  </si>
  <si>
    <t xml:space="preserve">Charity Hill Foundation</t>
  </si>
  <si>
    <t xml:space="preserve">WC-95175</t>
  </si>
  <si>
    <t xml:space="preserve">WC-13390</t>
  </si>
  <si>
    <t xml:space="preserve">Catering</t>
  </si>
  <si>
    <t xml:space="preserve">Sneaky Street Advertising</t>
  </si>
  <si>
    <t xml:space="preserve">Catering – Sneaky contract</t>
  </si>
  <si>
    <t xml:space="preserve">WC-59797</t>
  </si>
  <si>
    <t xml:space="preserve">Marketing</t>
  </si>
  <si>
    <t xml:space="preserve">Quiet Lane HR Consulting</t>
  </si>
  <si>
    <t xml:space="preserve">Marketing – Quiet contract</t>
  </si>
  <si>
    <t xml:space="preserve">WC-40968</t>
  </si>
  <si>
    <t xml:space="preserve">Camelot Industries Ltd.</t>
  </si>
  <si>
    <t xml:space="preserve">WC-74251</t>
  </si>
  <si>
    <t xml:space="preserve">Italian Street Accounting</t>
  </si>
  <si>
    <t xml:space="preserve">Marketing – Italian contract</t>
  </si>
  <si>
    <t xml:space="preserve">Sally Phelps</t>
  </si>
  <si>
    <t xml:space="preserve">WC-15014</t>
  </si>
  <si>
    <t xml:space="preserve">Church Street Insurance</t>
  </si>
  <si>
    <t xml:space="preserve">Marketing – Church contract</t>
  </si>
  <si>
    <t xml:space="preserve">WC-93810</t>
  </si>
  <si>
    <t xml:space="preserve">Utilities – Charity contract</t>
  </si>
  <si>
    <t xml:space="preserve">Sid Sawyer</t>
  </si>
  <si>
    <t xml:space="preserve">WC-92998</t>
  </si>
  <si>
    <t xml:space="preserve">Courthouse Mediation Center</t>
  </si>
  <si>
    <t xml:space="preserve">WC-62923</t>
  </si>
  <si>
    <t xml:space="preserve">Catering – Quiet contract</t>
  </si>
  <si>
    <t xml:space="preserve">WC-51359</t>
  </si>
  <si>
    <t xml:space="preserve">Professional Services</t>
  </si>
  <si>
    <t xml:space="preserve">Cave Entrance Security</t>
  </si>
  <si>
    <t xml:space="preserve">Professional Services – Cave contract</t>
  </si>
  <si>
    <t xml:space="preserve">WC-80284</t>
  </si>
  <si>
    <t xml:space="preserve">Loyal Road Maintenance</t>
  </si>
  <si>
    <t xml:space="preserve">Office Supplies – Loyal contract</t>
  </si>
  <si>
    <t xml:space="preserve">WC-67560</t>
  </si>
  <si>
    <t xml:space="preserve">Colonel Grangerford</t>
  </si>
  <si>
    <t xml:space="preserve">WC-41266</t>
  </si>
  <si>
    <t xml:space="preserve">Office Supplies – Sneaky contract</t>
  </si>
  <si>
    <t xml:space="preserve">WC-80010</t>
  </si>
  <si>
    <t xml:space="preserve">Mississippi River Transport LLC</t>
  </si>
  <si>
    <t xml:space="preserve">Software Subscription – Mississippi contract</t>
  </si>
  <si>
    <t xml:space="preserve">Aunt Polly</t>
  </si>
  <si>
    <t xml:space="preserve">WC-26483</t>
  </si>
  <si>
    <t xml:space="preserve">Equipment Rental</t>
  </si>
  <si>
    <t xml:space="preserve">Riverbank IT Solutions</t>
  </si>
  <si>
    <t xml:space="preserve">Equipment Rental – Riverbank contract</t>
  </si>
  <si>
    <t xml:space="preserve">WC-33028</t>
  </si>
  <si>
    <t xml:space="preserve">Royal Courts Advisory</t>
  </si>
  <si>
    <t xml:space="preserve">Hank Morgan</t>
  </si>
  <si>
    <t xml:space="preserve">WC-80678</t>
  </si>
  <si>
    <t xml:space="preserve">Professional Services – Apple contract</t>
  </si>
  <si>
    <t xml:space="preserve">Muff Potter</t>
  </si>
  <si>
    <t xml:space="preserve">WC-89254</t>
  </si>
  <si>
    <t xml:space="preserve">Consulting Services</t>
  </si>
  <si>
    <t xml:space="preserve">Delta Trade Alliance</t>
  </si>
  <si>
    <t xml:space="preserve">Consulting Services engagement</t>
  </si>
  <si>
    <t xml:space="preserve">Miles Hendon</t>
  </si>
  <si>
    <t xml:space="preserve">WC-29887</t>
  </si>
  <si>
    <t xml:space="preserve">WC-68446</t>
  </si>
  <si>
    <t xml:space="preserve">Schoolhouse Print &amp; Copy</t>
  </si>
  <si>
    <t xml:space="preserve">Maintenance – Schoolhouse contract</t>
  </si>
  <si>
    <t xml:space="preserve">WC-58351</t>
  </si>
  <si>
    <t xml:space="preserve">Alleyway Plumbing</t>
  </si>
  <si>
    <t xml:space="preserve">Travel &amp; Lodging – Alleyway contract</t>
  </si>
  <si>
    <t xml:space="preserve">WC-41439</t>
  </si>
  <si>
    <t xml:space="preserve">Hannibal Office Supply Co.</t>
  </si>
  <si>
    <t xml:space="preserve">Travel &amp; Lodging – Hannibal contract</t>
  </si>
  <si>
    <t xml:space="preserve">WC-32280</t>
  </si>
  <si>
    <t xml:space="preserve">WC-38683</t>
  </si>
  <si>
    <t xml:space="preserve">Software Subscription – Loyal contract</t>
  </si>
  <si>
    <t xml:space="preserve">Buck Grangerford</t>
  </si>
  <si>
    <t xml:space="preserve">WC-67080</t>
  </si>
  <si>
    <t xml:space="preserve">Catering – Apple contract</t>
  </si>
  <si>
    <t xml:space="preserve">WC-65296</t>
  </si>
  <si>
    <t xml:space="preserve">Maintenance – Charity contract</t>
  </si>
  <si>
    <t xml:space="preserve">WC-52600</t>
  </si>
  <si>
    <t xml:space="preserve">London Bridge Software</t>
  </si>
  <si>
    <t xml:space="preserve">Professional Services – London contract</t>
  </si>
  <si>
    <t xml:space="preserve">WC-85674</t>
  </si>
  <si>
    <t xml:space="preserve">Wagon Road Delivery</t>
  </si>
  <si>
    <t xml:space="preserve">Software Subscription – Wagon contract</t>
  </si>
  <si>
    <t xml:space="preserve">WC-96511</t>
  </si>
  <si>
    <t xml:space="preserve">Marketing – Schoolhouse contract</t>
  </si>
  <si>
    <t xml:space="preserve">WC-97900</t>
  </si>
  <si>
    <t xml:space="preserve">Legal Fees</t>
  </si>
  <si>
    <t xml:space="preserve">Legal Fees – Pirate contract</t>
  </si>
  <si>
    <t xml:space="preserve">WC-83563</t>
  </si>
  <si>
    <t xml:space="preserve">Bricksville Shipping Co.</t>
  </si>
  <si>
    <t xml:space="preserve">Professional Services – Bricksville contract</t>
  </si>
  <si>
    <t xml:space="preserve">WC-89818</t>
  </si>
  <si>
    <t xml:space="preserve">Mysterious Road Research</t>
  </si>
  <si>
    <t xml:space="preserve">Marketing – Mysterious contract</t>
  </si>
  <si>
    <t xml:space="preserve">WC-56898</t>
  </si>
  <si>
    <t xml:space="preserve">Office Supplies – London contract</t>
  </si>
  <si>
    <t xml:space="preserve">WC-49507</t>
  </si>
  <si>
    <t xml:space="preserve">Emmeline Grangerford</t>
  </si>
  <si>
    <t xml:space="preserve">WC-80468</t>
  </si>
  <si>
    <t xml:space="preserve">Travel &amp; Lodging – Saloon contract</t>
  </si>
  <si>
    <t xml:space="preserve">WC-71694</t>
  </si>
  <si>
    <t xml:space="preserve">Maintenance – London contract</t>
  </si>
  <si>
    <t xml:space="preserve">Mary Sawyer</t>
  </si>
  <si>
    <t xml:space="preserve">WC-35166</t>
  </si>
  <si>
    <t xml:space="preserve">WC-17331</t>
  </si>
  <si>
    <t xml:space="preserve">Royal Palace Events</t>
  </si>
  <si>
    <t xml:space="preserve">Marketing – Royal contract</t>
  </si>
  <si>
    <t xml:space="preserve">WC-22739</t>
  </si>
  <si>
    <t xml:space="preserve">WC-16258</t>
  </si>
  <si>
    <t xml:space="preserve">Advisory Retainer</t>
  </si>
  <si>
    <t xml:space="preserve">Advisory Retainer engagement</t>
  </si>
  <si>
    <t xml:space="preserve">WC-28301</t>
  </si>
  <si>
    <t xml:space="preserve">Enchanted Tower Analytics</t>
  </si>
  <si>
    <t xml:space="preserve">Catering – Enchanted contract</t>
  </si>
  <si>
    <t xml:space="preserve">WC-16734</t>
  </si>
  <si>
    <t xml:space="preserve">Playground Digital</t>
  </si>
  <si>
    <t xml:space="preserve">Office Supplies – Playground contract</t>
  </si>
  <si>
    <t xml:space="preserve">WC-47243</t>
  </si>
  <si>
    <t xml:space="preserve">WC-51467</t>
  </si>
  <si>
    <t xml:space="preserve">Marketing – Charity contract</t>
  </si>
  <si>
    <t xml:space="preserve">Silas Phelps</t>
  </si>
  <si>
    <t xml:space="preserve">WC-87656</t>
  </si>
  <si>
    <t xml:space="preserve">Professional Services – Playground contract</t>
  </si>
  <si>
    <t xml:space="preserve">WC-30374</t>
  </si>
  <si>
    <t xml:space="preserve">Catering – Cave contract</t>
  </si>
  <si>
    <t xml:space="preserve">WC-88222</t>
  </si>
  <si>
    <t xml:space="preserve">Professional Services – Alleyway contract</t>
  </si>
  <si>
    <t xml:space="preserve">WC-58434</t>
  </si>
  <si>
    <t xml:space="preserve">Maintenance – Playground contract</t>
  </si>
  <si>
    <t xml:space="preserve">WC-16743</t>
  </si>
  <si>
    <t xml:space="preserve">Bricksville Development Group</t>
  </si>
  <si>
    <t xml:space="preserve">WC-24621</t>
  </si>
  <si>
    <t xml:space="preserve">Travel &amp; Lodging – Bricksville contract</t>
  </si>
  <si>
    <t xml:space="preserve">WC-17355</t>
  </si>
  <si>
    <t xml:space="preserve">Cave Tours International</t>
  </si>
  <si>
    <t xml:space="preserve">WC-41890</t>
  </si>
  <si>
    <t xml:space="preserve">Maintenance – Loyal contract</t>
  </si>
  <si>
    <t xml:space="preserve">WC-97442</t>
  </si>
  <si>
    <t xml:space="preserve">Tom Sawyer</t>
  </si>
  <si>
    <t xml:space="preserve">WC-69929</t>
  </si>
  <si>
    <t xml:space="preserve">Software Subscription – Bricksville contract</t>
  </si>
  <si>
    <t xml:space="preserve">WC-92210</t>
  </si>
  <si>
    <t xml:space="preserve">WC-54020</t>
  </si>
  <si>
    <t xml:space="preserve">Courthouse Square Legal</t>
  </si>
  <si>
    <t xml:space="preserve">Travel &amp; Lodging – Courthouse contract</t>
  </si>
  <si>
    <t xml:space="preserve">WC-13694</t>
  </si>
  <si>
    <t xml:space="preserve">Arkansas Agricultural Board</t>
  </si>
  <si>
    <t xml:space="preserve">WC-88504</t>
  </si>
  <si>
    <t xml:space="preserve">Whitewash Materials Inc.</t>
  </si>
  <si>
    <t xml:space="preserve">Software Subscription – Whitewash contract</t>
  </si>
  <si>
    <t xml:space="preserve">WC-31079</t>
  </si>
  <si>
    <t xml:space="preserve">Maintenance – Alleyway contract</t>
  </si>
  <si>
    <t xml:space="preserve">WC-87356</t>
  </si>
  <si>
    <t xml:space="preserve">WC-65392</t>
  </si>
  <si>
    <t xml:space="preserve">Travel &amp; Lodging – Cave contract</t>
  </si>
  <si>
    <t xml:space="preserve">WC-24918</t>
  </si>
  <si>
    <t xml:space="preserve">WC-54541</t>
  </si>
  <si>
    <t xml:space="preserve">WC-53357</t>
  </si>
  <si>
    <t xml:space="preserve">Utilities – Alleyway contract</t>
  </si>
  <si>
    <t xml:space="preserve">WC-84963</t>
  </si>
  <si>
    <t xml:space="preserve">Hannibal Municipal Corp.</t>
  </si>
  <si>
    <t xml:space="preserve">Alfred Temple</t>
  </si>
  <si>
    <t xml:space="preserve">WC-83048</t>
  </si>
  <si>
    <t xml:space="preserve">WC-23238</t>
  </si>
  <si>
    <t xml:space="preserve">Maintenance – Italian contract</t>
  </si>
  <si>
    <t xml:space="preserve">WC-44099</t>
  </si>
  <si>
    <t xml:space="preserve">WC-78494</t>
  </si>
  <si>
    <t xml:space="preserve">WC-52622</t>
  </si>
  <si>
    <t xml:space="preserve">WC-28958</t>
  </si>
  <si>
    <t xml:space="preserve">Jim Watson</t>
  </si>
  <si>
    <t xml:space="preserve">WC-25157</t>
  </si>
  <si>
    <t xml:space="preserve">Utilities – Mississippi contract</t>
  </si>
  <si>
    <t xml:space="preserve">WC-13534</t>
  </si>
  <si>
    <t xml:space="preserve">Office Supplies – Italian contract</t>
  </si>
  <si>
    <t xml:space="preserve">WC-19447</t>
  </si>
  <si>
    <t xml:space="preserve">WC-74799</t>
  </si>
  <si>
    <t xml:space="preserve">Travel &amp; Lodging – Italian contract</t>
  </si>
  <si>
    <t xml:space="preserve">WC-17944</t>
  </si>
  <si>
    <t xml:space="preserve">WC-95097</t>
  </si>
  <si>
    <t xml:space="preserve">St. Petersburg Civic Council</t>
  </si>
  <si>
    <t xml:space="preserve">WC-18418</t>
  </si>
  <si>
    <t xml:space="preserve">Marketing – Loyal contract</t>
  </si>
  <si>
    <t xml:space="preserve">WC-62262</t>
  </si>
  <si>
    <t xml:space="preserve">WC-99192</t>
  </si>
  <si>
    <t xml:space="preserve">Legal Fees – Royal contract</t>
  </si>
  <si>
    <t xml:space="preserve">WC-85465</t>
  </si>
  <si>
    <t xml:space="preserve">WC-74722</t>
  </si>
  <si>
    <t xml:space="preserve">Catering – Mississippi contract</t>
  </si>
  <si>
    <t xml:space="preserve">WC-91973</t>
  </si>
  <si>
    <t xml:space="preserve">Hartford Commerce Group</t>
  </si>
  <si>
    <t xml:space="preserve">WC-45665</t>
  </si>
  <si>
    <t xml:space="preserve">WC-29476</t>
  </si>
  <si>
    <t xml:space="preserve">WC-77839</t>
  </si>
  <si>
    <t xml:space="preserve">Professional Services – Charity contract</t>
  </si>
  <si>
    <t xml:space="preserve">Boggs Townsman</t>
  </si>
  <si>
    <t xml:space="preserve">WC-14809</t>
  </si>
  <si>
    <t xml:space="preserve">WC-42780</t>
  </si>
  <si>
    <t xml:space="preserve">WC-91018</t>
  </si>
  <si>
    <t xml:space="preserve">WC-31417</t>
  </si>
  <si>
    <t xml:space="preserve">Utilities – Saloon contract</t>
  </si>
  <si>
    <t xml:space="preserve">WC-40433</t>
  </si>
  <si>
    <t xml:space="preserve">WC-73653</t>
  </si>
  <si>
    <t xml:space="preserve">Legal Fees – Feud contract</t>
  </si>
  <si>
    <t xml:space="preserve">WC-76244</t>
  </si>
  <si>
    <t xml:space="preserve">Software Subscription – Pirate contract</t>
  </si>
  <si>
    <t xml:space="preserve">WC-79579</t>
  </si>
  <si>
    <t xml:space="preserve">WC-69245</t>
  </si>
  <si>
    <t xml:space="preserve">WC-28131</t>
  </si>
  <si>
    <t xml:space="preserve">Office Supplies – Mysterious contract</t>
  </si>
  <si>
    <t xml:space="preserve">WC-67595</t>
  </si>
  <si>
    <t xml:space="preserve">WC-55508</t>
  </si>
  <si>
    <t xml:space="preserve">Marketing – Pirate contract</t>
  </si>
  <si>
    <t xml:space="preserve">WC-40671</t>
  </si>
  <si>
    <t xml:space="preserve">WC-64921</t>
  </si>
  <si>
    <t xml:space="preserve">WC-98815</t>
  </si>
  <si>
    <t xml:space="preserve">WC-48752</t>
  </si>
  <si>
    <t xml:space="preserve">Professional Services – Enchanted contract</t>
  </si>
  <si>
    <t xml:space="preserve">WC-27054</t>
  </si>
  <si>
    <t xml:space="preserve">WC-11061</t>
  </si>
  <si>
    <t xml:space="preserve">WC-90676</t>
  </si>
  <si>
    <t xml:space="preserve">Legal Fees – Loyal contract</t>
  </si>
  <si>
    <t xml:space="preserve">WC-58393</t>
  </si>
  <si>
    <t xml:space="preserve">Legal Fees – Courthouse contract</t>
  </si>
  <si>
    <t xml:space="preserve">WC-64935</t>
  </si>
  <si>
    <t xml:space="preserve">WC-40161</t>
  </si>
  <si>
    <t xml:space="preserve">WC-21395</t>
  </si>
  <si>
    <t xml:space="preserve">Software Subscription – Hannibal contract</t>
  </si>
  <si>
    <t xml:space="preserve">WC-98984</t>
  </si>
  <si>
    <t xml:space="preserve">WC-52219</t>
  </si>
  <si>
    <t xml:space="preserve">WC-72277</t>
  </si>
  <si>
    <t xml:space="preserve">Maintenance – Enchanted contract</t>
  </si>
  <si>
    <t xml:space="preserve">WC-14705</t>
  </si>
  <si>
    <t xml:space="preserve">WC-73517</t>
  </si>
  <si>
    <t xml:space="preserve">Utilities – Bricksville contract</t>
  </si>
  <si>
    <t xml:space="preserve">WC-38705</t>
  </si>
  <si>
    <t xml:space="preserve">Duke Fraud</t>
  </si>
  <si>
    <t xml:space="preserve">WC-59372</t>
  </si>
  <si>
    <t xml:space="preserve">WC-72402</t>
  </si>
  <si>
    <t xml:space="preserve">Maintenance – Apple contract</t>
  </si>
  <si>
    <t xml:space="preserve">WC-95814</t>
  </si>
  <si>
    <t xml:space="preserve">WC-37869</t>
  </si>
  <si>
    <t xml:space="preserve">WC-50662</t>
  </si>
  <si>
    <t xml:space="preserve">WC-10150</t>
  </si>
  <si>
    <t xml:space="preserve">WC-22704</t>
  </si>
  <si>
    <t xml:space="preserve">Marketing – Enchanted contract</t>
  </si>
  <si>
    <t xml:space="preserve">WC-32241</t>
  </si>
  <si>
    <t xml:space="preserve">Utilities – Poorhouse contract</t>
  </si>
  <si>
    <t xml:space="preserve">WC-22015</t>
  </si>
  <si>
    <t xml:space="preserve">WC-11025</t>
  </si>
  <si>
    <t xml:space="preserve">WC-70901</t>
  </si>
  <si>
    <t xml:space="preserve">Maintenance – Quiet contract</t>
  </si>
  <si>
    <t xml:space="preserve">WC-54057</t>
  </si>
  <si>
    <t xml:space="preserve">Travel &amp; Lodging – Playground contract</t>
  </si>
  <si>
    <t xml:space="preserve">WC-37460</t>
  </si>
  <si>
    <t xml:space="preserve">Office Supplies – Quiet contract</t>
  </si>
  <si>
    <t xml:space="preserve">WC-40784</t>
  </si>
  <si>
    <t xml:space="preserve">WC-85470</t>
  </si>
  <si>
    <t xml:space="preserve">Legal Fees – Fancy contract</t>
  </si>
  <si>
    <t xml:space="preserve">WC-62386</t>
  </si>
  <si>
    <t xml:space="preserve">WC-23022</t>
  </si>
  <si>
    <t xml:space="preserve">WC-14288</t>
  </si>
  <si>
    <t xml:space="preserve">WC-23356</t>
  </si>
  <si>
    <t xml:space="preserve">WC-76698</t>
  </si>
  <si>
    <t xml:space="preserve">WC-71993</t>
  </si>
  <si>
    <t xml:space="preserve">WC-96752</t>
  </si>
  <si>
    <t xml:space="preserve">WC-50846</t>
  </si>
  <si>
    <t xml:space="preserve">WC-89905</t>
  </si>
  <si>
    <t xml:space="preserve">Professional Services – Italian contract</t>
  </si>
  <si>
    <t xml:space="preserve">WC-26614</t>
  </si>
  <si>
    <t xml:space="preserve">WC-17989</t>
  </si>
  <si>
    <t xml:space="preserve">WC-52823</t>
  </si>
  <si>
    <t xml:space="preserve">WC-98188</t>
  </si>
  <si>
    <t xml:space="preserve">WC-41963</t>
  </si>
  <si>
    <t xml:space="preserve">WC-80686</t>
  </si>
  <si>
    <t xml:space="preserve">Utilities – Royal contract</t>
  </si>
  <si>
    <t xml:space="preserve">WC-28191</t>
  </si>
  <si>
    <t xml:space="preserve">WC-22903</t>
  </si>
  <si>
    <t xml:space="preserve">WC-75612</t>
  </si>
  <si>
    <t xml:space="preserve">Equipment Rental – Saloon contract</t>
  </si>
  <si>
    <t xml:space="preserve">WC-70513</t>
  </si>
  <si>
    <t xml:space="preserve">WC-53719</t>
  </si>
  <si>
    <t xml:space="preserve">Utilities – Riverbank contract</t>
  </si>
  <si>
    <t xml:space="preserve">WC-61049</t>
  </si>
  <si>
    <t xml:space="preserve">Catering – Royal contract</t>
  </si>
  <si>
    <t xml:space="preserve">WC-33218</t>
  </si>
  <si>
    <t xml:space="preserve">WC-44760</t>
  </si>
  <si>
    <t xml:space="preserve">Utilities – Enchanted contract</t>
  </si>
  <si>
    <t xml:space="preserve">WC-66346</t>
  </si>
  <si>
    <t xml:space="preserve">Maintenance – Bricksville contract</t>
  </si>
  <si>
    <t xml:space="preserve">WC-44675</t>
  </si>
  <si>
    <t xml:space="preserve">Legal Fees – Whitewash contract</t>
  </si>
  <si>
    <t xml:space="preserve">WC-50492</t>
  </si>
  <si>
    <t xml:space="preserve">WC-63964</t>
  </si>
  <si>
    <t xml:space="preserve">WC-54396</t>
  </si>
  <si>
    <t xml:space="preserve">WC-68947</t>
  </si>
  <si>
    <t xml:space="preserve">WC-23566</t>
  </si>
  <si>
    <t xml:space="preserve">WC-93202</t>
  </si>
  <si>
    <t xml:space="preserve">Farmstead Data Center</t>
  </si>
  <si>
    <t xml:space="preserve">Office Supplies – Farmstead contract</t>
  </si>
  <si>
    <t xml:space="preserve">WC-45018</t>
  </si>
  <si>
    <t xml:space="preserve">WC-18992</t>
  </si>
  <si>
    <t xml:space="preserve">WC-29313</t>
  </si>
  <si>
    <t xml:space="preserve">WC-43065</t>
  </si>
  <si>
    <t xml:space="preserve">Maintenance – Hannibal contract</t>
  </si>
  <si>
    <t xml:space="preserve">WC-38266</t>
  </si>
  <si>
    <t xml:space="preserve">WC-39451</t>
  </si>
  <si>
    <t xml:space="preserve">WC-66244</t>
  </si>
  <si>
    <t xml:space="preserve">WC-72781</t>
  </si>
  <si>
    <t xml:space="preserve">WC-39392</t>
  </si>
  <si>
    <t xml:space="preserve">Frontier Solutions Inc.</t>
  </si>
  <si>
    <t xml:space="preserve">WC-96951</t>
  </si>
  <si>
    <t xml:space="preserve">WC-77621</t>
  </si>
  <si>
    <t xml:space="preserve">WC-46342</t>
  </si>
  <si>
    <t xml:space="preserve">WC-82512</t>
  </si>
  <si>
    <t xml:space="preserve">Office Supplies – Wagon contract</t>
  </si>
  <si>
    <t xml:space="preserve">WC-14117</t>
  </si>
  <si>
    <t xml:space="preserve">Office Supplies – Poorhouse contract</t>
  </si>
  <si>
    <t xml:space="preserve">WC-41029</t>
  </si>
  <si>
    <t xml:space="preserve">Travel &amp; Lodging – Feud contract</t>
  </si>
  <si>
    <t xml:space="preserve">WC-52176</t>
  </si>
  <si>
    <t xml:space="preserve">WC-63736</t>
  </si>
  <si>
    <t xml:space="preserve">WC-23446</t>
  </si>
  <si>
    <t xml:space="preserve">Catering – Alleyway contract</t>
  </si>
  <si>
    <t xml:space="preserve">WC-41571</t>
  </si>
  <si>
    <t xml:space="preserve">Office Supplies – Church contract</t>
  </si>
  <si>
    <t xml:space="preserve">WC-91205</t>
  </si>
  <si>
    <t xml:space="preserve">Whitewash &amp; Co. – Transaction Summary</t>
  </si>
  <si>
    <t xml:space="preserve">Metric</t>
  </si>
  <si>
    <t xml:space="preserve">Value</t>
  </si>
  <si>
    <t xml:space="preserve">Total Transactions</t>
  </si>
  <si>
    <t xml:space="preserve">Total Expenses</t>
  </si>
  <si>
    <t xml:space="preserve">Total Client Billings</t>
  </si>
  <si>
    <t xml:space="preserve">Total Expense Amount</t>
  </si>
  <si>
    <t xml:space="preserve">Total Billed Amount</t>
  </si>
  <si>
    <t xml:space="preserve">Net Position</t>
  </si>
  <si>
    <t xml:space="preserve">Paid Transactions</t>
  </si>
  <si>
    <t xml:space="preserve">Pending Transactions</t>
  </si>
  <si>
    <t xml:space="preserve">Overdue Transactions</t>
  </si>
  <si>
    <t xml:space="preserve">Average Expense</t>
  </si>
  <si>
    <t xml:space="preserve">Average Billing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</si>
</sst>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EF9E7"/>
      </patternFill>
    </fill>
    <fill>
      <patternFill patternType="solid">
        <fgColor rgb="FFE2EFDA"/>
        <bgColor rgb="FFEBF5E1"/>
      </patternFill>
    </fill>
    <fill>
      <patternFill patternType="solid">
        <fgColor rgb="FFFEF9E7"/>
        <bgColor rgb="FFFFFFFF"/>
      </patternFill>
    </fill>
    <fill>
      <patternFill patternType="solid">
        <fgColor rgb="FFFFC7CE"/>
        <bgColor rgb="FFCCCCCC"/>
      </patternFill>
    </fill>
    <fill>
      <patternFill patternType="solid">
        <fgColor rgb="FFEBF5E1"/>
        <bgColor rgb="FFE2EFDA"/>
      </patternFill>
    </fill>
    <fill>
      <patternFill patternType="solid">
        <fgColor rgb="FFD6E4F0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BF5E1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843C0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5E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EF9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n">
        <v>45296</v>
      </c>
      <c r="C2" s="3" t="n">
        <v>45311</v>
      </c>
      <c r="D2" s="4" t="s">
        <v>12</v>
      </c>
      <c r="E2" s="5" t="s">
        <v>13</v>
      </c>
      <c r="F2" s="5" t="s">
        <v>14</v>
      </c>
      <c r="G2" s="6" t="s">
        <v>15</v>
      </c>
      <c r="H2" s="7" t="n">
        <v>12484.7</v>
      </c>
      <c r="I2" s="8" t="s">
        <v>16</v>
      </c>
      <c r="J2" s="5" t="s">
        <v>17</v>
      </c>
      <c r="K2" s="5" t="s">
        <v>18</v>
      </c>
    </row>
    <row r="3" customFormat="false" ht="15" hidden="false" customHeight="false" outlineLevel="0" collapsed="false">
      <c r="A3" s="9" t="s">
        <v>19</v>
      </c>
      <c r="B3" s="10" t="n">
        <v>45297</v>
      </c>
      <c r="C3" s="10" t="n">
        <v>45327</v>
      </c>
      <c r="D3" s="11" t="s">
        <v>12</v>
      </c>
      <c r="E3" s="12" t="s">
        <v>13</v>
      </c>
      <c r="F3" s="12" t="s">
        <v>20</v>
      </c>
      <c r="G3" s="13" t="s">
        <v>21</v>
      </c>
      <c r="H3" s="14" t="n">
        <v>13003.33</v>
      </c>
      <c r="I3" s="15" t="s">
        <v>22</v>
      </c>
      <c r="J3" s="12" t="s">
        <v>17</v>
      </c>
      <c r="K3" s="12" t="s">
        <v>23</v>
      </c>
    </row>
    <row r="4" customFormat="false" ht="15" hidden="false" customHeight="false" outlineLevel="0" collapsed="false">
      <c r="A4" s="16" t="s">
        <v>24</v>
      </c>
      <c r="B4" s="17" t="n">
        <v>45299</v>
      </c>
      <c r="C4" s="17" t="n">
        <v>45344</v>
      </c>
      <c r="D4" s="8" t="s">
        <v>25</v>
      </c>
      <c r="E4" s="18" t="s">
        <v>26</v>
      </c>
      <c r="F4" s="18" t="s">
        <v>27</v>
      </c>
      <c r="G4" s="19" t="s">
        <v>28</v>
      </c>
      <c r="H4" s="20" t="n">
        <v>25973.43</v>
      </c>
      <c r="I4" s="8" t="s">
        <v>16</v>
      </c>
      <c r="J4" s="18" t="s">
        <v>29</v>
      </c>
      <c r="K4" s="18" t="s">
        <v>18</v>
      </c>
    </row>
    <row r="5" customFormat="false" ht="15" hidden="false" customHeight="false" outlineLevel="0" collapsed="false">
      <c r="A5" s="21" t="s">
        <v>30</v>
      </c>
      <c r="B5" s="22" t="n">
        <v>45301</v>
      </c>
      <c r="C5" s="22" t="n">
        <v>45346</v>
      </c>
      <c r="D5" s="23" t="s">
        <v>25</v>
      </c>
      <c r="E5" s="24" t="s">
        <v>31</v>
      </c>
      <c r="F5" s="24" t="s">
        <v>32</v>
      </c>
      <c r="G5" s="25" t="s">
        <v>33</v>
      </c>
      <c r="H5" s="26" t="n">
        <v>71459.78</v>
      </c>
      <c r="I5" s="8" t="s">
        <v>16</v>
      </c>
      <c r="J5" s="24" t="s">
        <v>34</v>
      </c>
      <c r="K5" s="24" t="s">
        <v>35</v>
      </c>
    </row>
    <row r="6" customFormat="false" ht="15" hidden="false" customHeight="false" outlineLevel="0" collapsed="false">
      <c r="A6" s="16" t="s">
        <v>36</v>
      </c>
      <c r="B6" s="17" t="n">
        <v>45306</v>
      </c>
      <c r="C6" s="17" t="n">
        <v>45336</v>
      </c>
      <c r="D6" s="8" t="s">
        <v>25</v>
      </c>
      <c r="E6" s="18" t="s">
        <v>37</v>
      </c>
      <c r="F6" s="18" t="s">
        <v>38</v>
      </c>
      <c r="G6" s="19" t="s">
        <v>39</v>
      </c>
      <c r="H6" s="20" t="n">
        <v>42435.83</v>
      </c>
      <c r="I6" s="15" t="s">
        <v>22</v>
      </c>
      <c r="J6" s="18" t="s">
        <v>40</v>
      </c>
      <c r="K6" s="18" t="s">
        <v>41</v>
      </c>
    </row>
    <row r="7" customFormat="false" ht="15" hidden="false" customHeight="false" outlineLevel="0" collapsed="false">
      <c r="A7" s="21" t="s">
        <v>42</v>
      </c>
      <c r="B7" s="22" t="n">
        <v>45307</v>
      </c>
      <c r="C7" s="22" t="n">
        <v>45322</v>
      </c>
      <c r="D7" s="23" t="s">
        <v>25</v>
      </c>
      <c r="E7" s="24" t="s">
        <v>26</v>
      </c>
      <c r="F7" s="24" t="s">
        <v>43</v>
      </c>
      <c r="G7" s="25" t="s">
        <v>28</v>
      </c>
      <c r="H7" s="26" t="n">
        <v>32937.86</v>
      </c>
      <c r="I7" s="8" t="s">
        <v>16</v>
      </c>
      <c r="J7" s="24" t="s">
        <v>44</v>
      </c>
      <c r="K7" s="24" t="s">
        <v>45</v>
      </c>
    </row>
    <row r="8" customFormat="false" ht="15" hidden="false" customHeight="false" outlineLevel="0" collapsed="false">
      <c r="A8" s="2" t="s">
        <v>46</v>
      </c>
      <c r="B8" s="3" t="n">
        <v>45308</v>
      </c>
      <c r="C8" s="3" t="n">
        <v>45338</v>
      </c>
      <c r="D8" s="4" t="s">
        <v>12</v>
      </c>
      <c r="E8" s="5" t="s">
        <v>47</v>
      </c>
      <c r="F8" s="5" t="s">
        <v>48</v>
      </c>
      <c r="G8" s="6" t="s">
        <v>49</v>
      </c>
      <c r="H8" s="7" t="n">
        <v>5196.52</v>
      </c>
      <c r="I8" s="15" t="s">
        <v>22</v>
      </c>
      <c r="J8" s="5" t="s">
        <v>50</v>
      </c>
      <c r="K8" s="5" t="s">
        <v>23</v>
      </c>
    </row>
    <row r="9" customFormat="false" ht="15" hidden="false" customHeight="false" outlineLevel="0" collapsed="false">
      <c r="A9" s="21" t="s">
        <v>51</v>
      </c>
      <c r="B9" s="22" t="n">
        <v>45311</v>
      </c>
      <c r="C9" s="22" t="n">
        <v>45356</v>
      </c>
      <c r="D9" s="23" t="s">
        <v>25</v>
      </c>
      <c r="E9" s="24" t="s">
        <v>37</v>
      </c>
      <c r="F9" s="24" t="s">
        <v>52</v>
      </c>
      <c r="G9" s="25" t="s">
        <v>39</v>
      </c>
      <c r="H9" s="26" t="n">
        <v>29812.19</v>
      </c>
      <c r="I9" s="8" t="s">
        <v>16</v>
      </c>
      <c r="J9" s="24" t="s">
        <v>44</v>
      </c>
      <c r="K9" s="24" t="s">
        <v>53</v>
      </c>
    </row>
    <row r="10" customFormat="false" ht="15" hidden="false" customHeight="false" outlineLevel="0" collapsed="false">
      <c r="A10" s="2" t="s">
        <v>54</v>
      </c>
      <c r="B10" s="3" t="n">
        <v>45312</v>
      </c>
      <c r="C10" s="3" t="n">
        <v>45342</v>
      </c>
      <c r="D10" s="4" t="s">
        <v>12</v>
      </c>
      <c r="E10" s="5" t="s">
        <v>55</v>
      </c>
      <c r="F10" s="5" t="s">
        <v>56</v>
      </c>
      <c r="G10" s="6" t="s">
        <v>57</v>
      </c>
      <c r="H10" s="7" t="n">
        <v>11779.44</v>
      </c>
      <c r="I10" s="8" t="s">
        <v>16</v>
      </c>
      <c r="J10" s="5" t="s">
        <v>44</v>
      </c>
      <c r="K10" s="5" t="s">
        <v>58</v>
      </c>
    </row>
    <row r="11" customFormat="false" ht="15" hidden="false" customHeight="false" outlineLevel="0" collapsed="false">
      <c r="A11" s="21" t="s">
        <v>59</v>
      </c>
      <c r="B11" s="22" t="n">
        <v>45314</v>
      </c>
      <c r="C11" s="22" t="n">
        <v>45374</v>
      </c>
      <c r="D11" s="23" t="s">
        <v>25</v>
      </c>
      <c r="E11" s="24" t="s">
        <v>60</v>
      </c>
      <c r="F11" s="24" t="s">
        <v>61</v>
      </c>
      <c r="G11" s="25" t="s">
        <v>62</v>
      </c>
      <c r="H11" s="26" t="n">
        <v>72795.17</v>
      </c>
      <c r="I11" s="15" t="s">
        <v>22</v>
      </c>
      <c r="J11" s="24" t="s">
        <v>63</v>
      </c>
      <c r="K11" s="24" t="s">
        <v>35</v>
      </c>
    </row>
    <row r="12" customFormat="false" ht="15" hidden="false" customHeight="false" outlineLevel="0" collapsed="false">
      <c r="A12" s="2" t="s">
        <v>64</v>
      </c>
      <c r="B12" s="3" t="n">
        <v>45317</v>
      </c>
      <c r="C12" s="3" t="n">
        <v>45332</v>
      </c>
      <c r="D12" s="4" t="s">
        <v>12</v>
      </c>
      <c r="E12" s="5" t="s">
        <v>13</v>
      </c>
      <c r="F12" s="5" t="s">
        <v>65</v>
      </c>
      <c r="G12" s="6" t="s">
        <v>66</v>
      </c>
      <c r="H12" s="7" t="n">
        <v>13601.14</v>
      </c>
      <c r="I12" s="8" t="s">
        <v>16</v>
      </c>
      <c r="J12" s="5" t="s">
        <v>44</v>
      </c>
      <c r="K12" s="5" t="s">
        <v>58</v>
      </c>
    </row>
    <row r="13" customFormat="false" ht="15" hidden="false" customHeight="false" outlineLevel="0" collapsed="false">
      <c r="A13" s="21" t="s">
        <v>67</v>
      </c>
      <c r="B13" s="22" t="n">
        <v>45319</v>
      </c>
      <c r="C13" s="22" t="n">
        <v>45379</v>
      </c>
      <c r="D13" s="23" t="s">
        <v>25</v>
      </c>
      <c r="E13" s="24" t="s">
        <v>60</v>
      </c>
      <c r="F13" s="24" t="s">
        <v>61</v>
      </c>
      <c r="G13" s="25" t="s">
        <v>62</v>
      </c>
      <c r="H13" s="26" t="n">
        <v>30497.04</v>
      </c>
      <c r="I13" s="8" t="s">
        <v>16</v>
      </c>
      <c r="J13" s="24" t="s">
        <v>68</v>
      </c>
      <c r="K13" s="24" t="s">
        <v>23</v>
      </c>
    </row>
    <row r="14" customFormat="false" ht="15" hidden="false" customHeight="false" outlineLevel="0" collapsed="false">
      <c r="A14" s="16" t="s">
        <v>69</v>
      </c>
      <c r="B14" s="17" t="n">
        <v>45320</v>
      </c>
      <c r="C14" s="17" t="n">
        <v>45365</v>
      </c>
      <c r="D14" s="8" t="s">
        <v>25</v>
      </c>
      <c r="E14" s="18" t="s">
        <v>70</v>
      </c>
      <c r="F14" s="18" t="s">
        <v>38</v>
      </c>
      <c r="G14" s="19" t="s">
        <v>71</v>
      </c>
      <c r="H14" s="20" t="n">
        <v>35976.33</v>
      </c>
      <c r="I14" s="8" t="s">
        <v>16</v>
      </c>
      <c r="J14" s="18" t="s">
        <v>72</v>
      </c>
      <c r="K14" s="18" t="s">
        <v>45</v>
      </c>
    </row>
    <row r="15" customFormat="false" ht="15" hidden="false" customHeight="false" outlineLevel="0" collapsed="false">
      <c r="A15" s="9" t="s">
        <v>73</v>
      </c>
      <c r="B15" s="10" t="n">
        <v>45321</v>
      </c>
      <c r="C15" s="10" t="n">
        <v>45336</v>
      </c>
      <c r="D15" s="11" t="s">
        <v>12</v>
      </c>
      <c r="E15" s="12" t="s">
        <v>74</v>
      </c>
      <c r="F15" s="12" t="s">
        <v>75</v>
      </c>
      <c r="G15" s="13" t="s">
        <v>76</v>
      </c>
      <c r="H15" s="14" t="n">
        <v>10771.38</v>
      </c>
      <c r="I15" s="15" t="s">
        <v>22</v>
      </c>
      <c r="J15" s="12" t="s">
        <v>77</v>
      </c>
      <c r="K15" s="12" t="s">
        <v>23</v>
      </c>
    </row>
    <row r="16" customFormat="false" ht="15" hidden="false" customHeight="false" outlineLevel="0" collapsed="false">
      <c r="A16" s="16" t="s">
        <v>78</v>
      </c>
      <c r="B16" s="17" t="n">
        <v>45326</v>
      </c>
      <c r="C16" s="17" t="n">
        <v>45341</v>
      </c>
      <c r="D16" s="8" t="s">
        <v>25</v>
      </c>
      <c r="E16" s="18" t="s">
        <v>70</v>
      </c>
      <c r="F16" s="18" t="s">
        <v>79</v>
      </c>
      <c r="G16" s="19" t="s">
        <v>71</v>
      </c>
      <c r="H16" s="20" t="n">
        <v>33811.05</v>
      </c>
      <c r="I16" s="15" t="s">
        <v>22</v>
      </c>
      <c r="J16" s="18" t="s">
        <v>80</v>
      </c>
      <c r="K16" s="18" t="s">
        <v>45</v>
      </c>
    </row>
    <row r="17" customFormat="false" ht="15" hidden="false" customHeight="false" outlineLevel="0" collapsed="false">
      <c r="A17" s="9" t="s">
        <v>81</v>
      </c>
      <c r="B17" s="10" t="n">
        <v>45327</v>
      </c>
      <c r="C17" s="10" t="n">
        <v>45342</v>
      </c>
      <c r="D17" s="11" t="s">
        <v>12</v>
      </c>
      <c r="E17" s="12" t="s">
        <v>82</v>
      </c>
      <c r="F17" s="12" t="s">
        <v>20</v>
      </c>
      <c r="G17" s="13" t="s">
        <v>83</v>
      </c>
      <c r="H17" s="14" t="n">
        <v>3708.59</v>
      </c>
      <c r="I17" s="8" t="s">
        <v>16</v>
      </c>
      <c r="J17" s="12" t="s">
        <v>84</v>
      </c>
      <c r="K17" s="12" t="s">
        <v>53</v>
      </c>
    </row>
    <row r="18" customFormat="false" ht="15" hidden="false" customHeight="false" outlineLevel="0" collapsed="false">
      <c r="A18" s="2" t="s">
        <v>85</v>
      </c>
      <c r="B18" s="3" t="n">
        <v>45328</v>
      </c>
      <c r="C18" s="3" t="n">
        <v>45343</v>
      </c>
      <c r="D18" s="4" t="s">
        <v>12</v>
      </c>
      <c r="E18" s="5" t="s">
        <v>74</v>
      </c>
      <c r="F18" s="5" t="s">
        <v>86</v>
      </c>
      <c r="G18" s="6" t="s">
        <v>87</v>
      </c>
      <c r="H18" s="7" t="n">
        <v>5640.87</v>
      </c>
      <c r="I18" s="15" t="s">
        <v>22</v>
      </c>
      <c r="J18" s="5" t="s">
        <v>88</v>
      </c>
      <c r="K18" s="5" t="s">
        <v>89</v>
      </c>
    </row>
    <row r="19" customFormat="false" ht="15" hidden="false" customHeight="false" outlineLevel="0" collapsed="false">
      <c r="A19" s="21" t="s">
        <v>90</v>
      </c>
      <c r="B19" s="22" t="n">
        <v>45331</v>
      </c>
      <c r="C19" s="22" t="n">
        <v>45346</v>
      </c>
      <c r="D19" s="23" t="s">
        <v>25</v>
      </c>
      <c r="E19" s="24" t="s">
        <v>91</v>
      </c>
      <c r="F19" s="24" t="s">
        <v>92</v>
      </c>
      <c r="G19" s="25" t="s">
        <v>93</v>
      </c>
      <c r="H19" s="26" t="n">
        <v>44573.88</v>
      </c>
      <c r="I19" s="15" t="s">
        <v>22</v>
      </c>
      <c r="J19" s="24" t="s">
        <v>94</v>
      </c>
      <c r="K19" s="24" t="s">
        <v>18</v>
      </c>
    </row>
    <row r="20" customFormat="false" ht="15" hidden="false" customHeight="false" outlineLevel="0" collapsed="false">
      <c r="A20" s="16" t="s">
        <v>95</v>
      </c>
      <c r="B20" s="17" t="n">
        <v>45332</v>
      </c>
      <c r="C20" s="17" t="n">
        <v>45392</v>
      </c>
      <c r="D20" s="8" t="s">
        <v>25</v>
      </c>
      <c r="E20" s="18" t="s">
        <v>31</v>
      </c>
      <c r="F20" s="18" t="s">
        <v>96</v>
      </c>
      <c r="G20" s="19" t="s">
        <v>33</v>
      </c>
      <c r="H20" s="20" t="n">
        <v>18563.97</v>
      </c>
      <c r="I20" s="8" t="s">
        <v>16</v>
      </c>
      <c r="J20" s="18" t="s">
        <v>50</v>
      </c>
      <c r="K20" s="18"/>
    </row>
    <row r="21" customFormat="false" ht="15" hidden="false" customHeight="false" outlineLevel="0" collapsed="false">
      <c r="A21" s="21" t="s">
        <v>97</v>
      </c>
      <c r="B21" s="22" t="n">
        <v>45333</v>
      </c>
      <c r="C21" s="22" t="n">
        <v>45378</v>
      </c>
      <c r="D21" s="23" t="s">
        <v>25</v>
      </c>
      <c r="E21" s="24" t="s">
        <v>91</v>
      </c>
      <c r="F21" s="24" t="s">
        <v>96</v>
      </c>
      <c r="G21" s="25" t="s">
        <v>93</v>
      </c>
      <c r="H21" s="26" t="n">
        <v>47942.94</v>
      </c>
      <c r="I21" s="15" t="s">
        <v>22</v>
      </c>
      <c r="J21" s="24" t="s">
        <v>77</v>
      </c>
      <c r="K21" s="24"/>
    </row>
    <row r="22" customFormat="false" ht="15" hidden="false" customHeight="false" outlineLevel="0" collapsed="false">
      <c r="A22" s="2" t="s">
        <v>98</v>
      </c>
      <c r="B22" s="3" t="n">
        <v>45338</v>
      </c>
      <c r="C22" s="3" t="n">
        <v>45368</v>
      </c>
      <c r="D22" s="4" t="s">
        <v>12</v>
      </c>
      <c r="E22" s="5" t="s">
        <v>99</v>
      </c>
      <c r="F22" s="5" t="s">
        <v>100</v>
      </c>
      <c r="G22" s="6" t="s">
        <v>101</v>
      </c>
      <c r="H22" s="7" t="n">
        <v>17121.54</v>
      </c>
      <c r="I22" s="15" t="s">
        <v>22</v>
      </c>
      <c r="J22" s="5" t="s">
        <v>88</v>
      </c>
      <c r="K22" s="5" t="s">
        <v>89</v>
      </c>
    </row>
    <row r="23" customFormat="false" ht="15" hidden="false" customHeight="false" outlineLevel="0" collapsed="false">
      <c r="A23" s="9" t="s">
        <v>102</v>
      </c>
      <c r="B23" s="10" t="n">
        <v>45341</v>
      </c>
      <c r="C23" s="10" t="n">
        <v>45386</v>
      </c>
      <c r="D23" s="11" t="s">
        <v>12</v>
      </c>
      <c r="E23" s="12" t="s">
        <v>103</v>
      </c>
      <c r="F23" s="12" t="s">
        <v>104</v>
      </c>
      <c r="G23" s="13" t="s">
        <v>105</v>
      </c>
      <c r="H23" s="14" t="n">
        <v>4871.7</v>
      </c>
      <c r="I23" s="8" t="s">
        <v>16</v>
      </c>
      <c r="J23" s="12" t="s">
        <v>80</v>
      </c>
      <c r="K23" s="12" t="s">
        <v>35</v>
      </c>
    </row>
    <row r="24" customFormat="false" ht="15" hidden="false" customHeight="false" outlineLevel="0" collapsed="false">
      <c r="A24" s="16" t="s">
        <v>106</v>
      </c>
      <c r="B24" s="17" t="n">
        <v>45344</v>
      </c>
      <c r="C24" s="17" t="n">
        <v>45374</v>
      </c>
      <c r="D24" s="8" t="s">
        <v>25</v>
      </c>
      <c r="E24" s="18" t="s">
        <v>31</v>
      </c>
      <c r="F24" s="18" t="s">
        <v>107</v>
      </c>
      <c r="G24" s="19" t="s">
        <v>33</v>
      </c>
      <c r="H24" s="20" t="n">
        <v>15078.68</v>
      </c>
      <c r="I24" s="8" t="s">
        <v>16</v>
      </c>
      <c r="J24" s="18" t="s">
        <v>34</v>
      </c>
      <c r="K24" s="18" t="s">
        <v>41</v>
      </c>
    </row>
    <row r="25" customFormat="false" ht="15" hidden="false" customHeight="false" outlineLevel="0" collapsed="false">
      <c r="A25" s="9" t="s">
        <v>108</v>
      </c>
      <c r="B25" s="10" t="n">
        <v>45346</v>
      </c>
      <c r="C25" s="10" t="n">
        <v>45406</v>
      </c>
      <c r="D25" s="11" t="s">
        <v>12</v>
      </c>
      <c r="E25" s="12" t="s">
        <v>103</v>
      </c>
      <c r="F25" s="12" t="s">
        <v>109</v>
      </c>
      <c r="G25" s="13" t="s">
        <v>110</v>
      </c>
      <c r="H25" s="14" t="n">
        <v>16064.61</v>
      </c>
      <c r="I25" s="15" t="s">
        <v>22</v>
      </c>
      <c r="J25" s="12" t="s">
        <v>111</v>
      </c>
      <c r="K25" s="12" t="s">
        <v>53</v>
      </c>
    </row>
    <row r="26" customFormat="false" ht="15" hidden="false" customHeight="false" outlineLevel="0" collapsed="false">
      <c r="A26" s="2" t="s">
        <v>112</v>
      </c>
      <c r="B26" s="3" t="n">
        <v>45347</v>
      </c>
      <c r="C26" s="3" t="n">
        <v>45407</v>
      </c>
      <c r="D26" s="4" t="s">
        <v>12</v>
      </c>
      <c r="E26" s="5" t="s">
        <v>103</v>
      </c>
      <c r="F26" s="5" t="s">
        <v>113</v>
      </c>
      <c r="G26" s="6" t="s">
        <v>114</v>
      </c>
      <c r="H26" s="7" t="n">
        <v>14187.74</v>
      </c>
      <c r="I26" s="15" t="s">
        <v>22</v>
      </c>
      <c r="J26" s="5" t="s">
        <v>84</v>
      </c>
      <c r="K26" s="5"/>
    </row>
    <row r="27" customFormat="false" ht="15" hidden="false" customHeight="false" outlineLevel="0" collapsed="false">
      <c r="A27" s="9" t="s">
        <v>115</v>
      </c>
      <c r="B27" s="10" t="n">
        <v>45349</v>
      </c>
      <c r="C27" s="10" t="n">
        <v>45364</v>
      </c>
      <c r="D27" s="11" t="s">
        <v>12</v>
      </c>
      <c r="E27" s="12" t="s">
        <v>47</v>
      </c>
      <c r="F27" s="12" t="s">
        <v>20</v>
      </c>
      <c r="G27" s="13" t="s">
        <v>116</v>
      </c>
      <c r="H27" s="14" t="n">
        <v>4134.31</v>
      </c>
      <c r="I27" s="15" t="s">
        <v>22</v>
      </c>
      <c r="J27" s="12" t="s">
        <v>117</v>
      </c>
      <c r="K27" s="12"/>
    </row>
    <row r="28" customFormat="false" ht="15" hidden="false" customHeight="false" outlineLevel="0" collapsed="false">
      <c r="A28" s="16" t="s">
        <v>118</v>
      </c>
      <c r="B28" s="17" t="n">
        <v>45350</v>
      </c>
      <c r="C28" s="17" t="n">
        <v>45380</v>
      </c>
      <c r="D28" s="8" t="s">
        <v>25</v>
      </c>
      <c r="E28" s="18" t="s">
        <v>60</v>
      </c>
      <c r="F28" s="18" t="s">
        <v>119</v>
      </c>
      <c r="G28" s="19" t="s">
        <v>62</v>
      </c>
      <c r="H28" s="20" t="n">
        <v>55234.99</v>
      </c>
      <c r="I28" s="15" t="s">
        <v>22</v>
      </c>
      <c r="J28" s="18" t="s">
        <v>88</v>
      </c>
      <c r="K28" s="18" t="s">
        <v>53</v>
      </c>
    </row>
    <row r="29" customFormat="false" ht="15" hidden="false" customHeight="false" outlineLevel="0" collapsed="false">
      <c r="A29" s="9" t="s">
        <v>120</v>
      </c>
      <c r="B29" s="10" t="n">
        <v>45353</v>
      </c>
      <c r="C29" s="10" t="n">
        <v>45383</v>
      </c>
      <c r="D29" s="11" t="s">
        <v>12</v>
      </c>
      <c r="E29" s="12" t="s">
        <v>99</v>
      </c>
      <c r="F29" s="12" t="s">
        <v>104</v>
      </c>
      <c r="G29" s="13" t="s">
        <v>121</v>
      </c>
      <c r="H29" s="14" t="n">
        <v>859.39</v>
      </c>
      <c r="I29" s="8" t="s">
        <v>16</v>
      </c>
      <c r="J29" s="12" t="s">
        <v>40</v>
      </c>
      <c r="K29" s="12"/>
    </row>
    <row r="30" customFormat="false" ht="15" hidden="false" customHeight="false" outlineLevel="0" collapsed="false">
      <c r="A30" s="2" t="s">
        <v>122</v>
      </c>
      <c r="B30" s="3" t="n">
        <v>45353</v>
      </c>
      <c r="C30" s="3" t="n">
        <v>45383</v>
      </c>
      <c r="D30" s="4" t="s">
        <v>12</v>
      </c>
      <c r="E30" s="5" t="s">
        <v>123</v>
      </c>
      <c r="F30" s="5" t="s">
        <v>124</v>
      </c>
      <c r="G30" s="6" t="s">
        <v>125</v>
      </c>
      <c r="H30" s="7" t="n">
        <v>13334.09</v>
      </c>
      <c r="I30" s="8" t="s">
        <v>16</v>
      </c>
      <c r="J30" s="5" t="s">
        <v>80</v>
      </c>
      <c r="K30" s="5"/>
    </row>
    <row r="31" customFormat="false" ht="15" hidden="false" customHeight="false" outlineLevel="0" collapsed="false">
      <c r="A31" s="9" t="s">
        <v>126</v>
      </c>
      <c r="B31" s="10" t="n">
        <v>45355</v>
      </c>
      <c r="C31" s="10" t="n">
        <v>45415</v>
      </c>
      <c r="D31" s="11" t="s">
        <v>12</v>
      </c>
      <c r="E31" s="12" t="s">
        <v>13</v>
      </c>
      <c r="F31" s="12" t="s">
        <v>127</v>
      </c>
      <c r="G31" s="13" t="s">
        <v>128</v>
      </c>
      <c r="H31" s="14" t="n">
        <v>5383.23</v>
      </c>
      <c r="I31" s="15" t="s">
        <v>22</v>
      </c>
      <c r="J31" s="12" t="s">
        <v>84</v>
      </c>
      <c r="K31" s="12" t="s">
        <v>45</v>
      </c>
    </row>
    <row r="32" customFormat="false" ht="15" hidden="false" customHeight="false" outlineLevel="0" collapsed="false">
      <c r="A32" s="2" t="s">
        <v>129</v>
      </c>
      <c r="B32" s="3" t="n">
        <v>45355</v>
      </c>
      <c r="C32" s="3" t="n">
        <v>45415</v>
      </c>
      <c r="D32" s="4" t="s">
        <v>12</v>
      </c>
      <c r="E32" s="5" t="s">
        <v>47</v>
      </c>
      <c r="F32" s="5" t="s">
        <v>48</v>
      </c>
      <c r="G32" s="6" t="s">
        <v>49</v>
      </c>
      <c r="H32" s="7" t="n">
        <v>7334.78</v>
      </c>
      <c r="I32" s="8" t="s">
        <v>16</v>
      </c>
      <c r="J32" s="5" t="s">
        <v>130</v>
      </c>
      <c r="K32" s="5"/>
    </row>
    <row r="33" customFormat="false" ht="15" hidden="false" customHeight="false" outlineLevel="0" collapsed="false">
      <c r="A33" s="9" t="s">
        <v>131</v>
      </c>
      <c r="B33" s="10" t="n">
        <v>45356</v>
      </c>
      <c r="C33" s="10" t="n">
        <v>45416</v>
      </c>
      <c r="D33" s="11" t="s">
        <v>12</v>
      </c>
      <c r="E33" s="12" t="s">
        <v>13</v>
      </c>
      <c r="F33" s="12" t="s">
        <v>100</v>
      </c>
      <c r="G33" s="13" t="s">
        <v>132</v>
      </c>
      <c r="H33" s="14" t="n">
        <v>17067.46</v>
      </c>
      <c r="I33" s="15" t="s">
        <v>22</v>
      </c>
      <c r="J33" s="12" t="s">
        <v>111</v>
      </c>
      <c r="K33" s="12" t="s">
        <v>89</v>
      </c>
    </row>
    <row r="34" customFormat="false" ht="15" hidden="false" customHeight="false" outlineLevel="0" collapsed="false">
      <c r="A34" s="2" t="s">
        <v>133</v>
      </c>
      <c r="B34" s="3" t="n">
        <v>45356</v>
      </c>
      <c r="C34" s="3" t="n">
        <v>45401</v>
      </c>
      <c r="D34" s="4" t="s">
        <v>12</v>
      </c>
      <c r="E34" s="5" t="s">
        <v>82</v>
      </c>
      <c r="F34" s="5" t="s">
        <v>134</v>
      </c>
      <c r="G34" s="6" t="s">
        <v>135</v>
      </c>
      <c r="H34" s="7" t="n">
        <v>10027.46</v>
      </c>
      <c r="I34" s="15" t="s">
        <v>22</v>
      </c>
      <c r="J34" s="5" t="s">
        <v>136</v>
      </c>
      <c r="K34" s="5" t="s">
        <v>35</v>
      </c>
    </row>
    <row r="35" customFormat="false" ht="15" hidden="false" customHeight="false" outlineLevel="0" collapsed="false">
      <c r="A35" s="9" t="s">
        <v>137</v>
      </c>
      <c r="B35" s="10" t="n">
        <v>45357</v>
      </c>
      <c r="C35" s="10" t="n">
        <v>45417</v>
      </c>
      <c r="D35" s="11" t="s">
        <v>12</v>
      </c>
      <c r="E35" s="12" t="s">
        <v>138</v>
      </c>
      <c r="F35" s="12" t="s">
        <v>139</v>
      </c>
      <c r="G35" s="13" t="s">
        <v>140</v>
      </c>
      <c r="H35" s="14" t="n">
        <v>4881.26</v>
      </c>
      <c r="I35" s="15" t="s">
        <v>22</v>
      </c>
      <c r="J35" s="12" t="s">
        <v>40</v>
      </c>
      <c r="K35" s="12" t="s">
        <v>23</v>
      </c>
    </row>
    <row r="36" customFormat="false" ht="15" hidden="false" customHeight="false" outlineLevel="0" collapsed="false">
      <c r="A36" s="16" t="s">
        <v>141</v>
      </c>
      <c r="B36" s="17" t="n">
        <v>45358</v>
      </c>
      <c r="C36" s="17" t="n">
        <v>45418</v>
      </c>
      <c r="D36" s="8" t="s">
        <v>25</v>
      </c>
      <c r="E36" s="18" t="s">
        <v>26</v>
      </c>
      <c r="F36" s="18" t="s">
        <v>142</v>
      </c>
      <c r="G36" s="19" t="s">
        <v>28</v>
      </c>
      <c r="H36" s="20" t="n">
        <v>43007.46</v>
      </c>
      <c r="I36" s="15" t="s">
        <v>22</v>
      </c>
      <c r="J36" s="18" t="s">
        <v>143</v>
      </c>
      <c r="K36" s="18" t="s">
        <v>45</v>
      </c>
    </row>
    <row r="37" customFormat="false" ht="15" hidden="false" customHeight="false" outlineLevel="0" collapsed="false">
      <c r="A37" s="9" t="s">
        <v>144</v>
      </c>
      <c r="B37" s="10" t="n">
        <v>45359</v>
      </c>
      <c r="C37" s="10" t="n">
        <v>45419</v>
      </c>
      <c r="D37" s="11" t="s">
        <v>12</v>
      </c>
      <c r="E37" s="12" t="s">
        <v>123</v>
      </c>
      <c r="F37" s="12" t="s">
        <v>86</v>
      </c>
      <c r="G37" s="13" t="s">
        <v>145</v>
      </c>
      <c r="H37" s="14" t="n">
        <v>8592.57</v>
      </c>
      <c r="I37" s="15" t="s">
        <v>22</v>
      </c>
      <c r="J37" s="12" t="s">
        <v>146</v>
      </c>
      <c r="K37" s="12" t="s">
        <v>41</v>
      </c>
    </row>
    <row r="38" customFormat="false" ht="15" hidden="false" customHeight="false" outlineLevel="0" collapsed="false">
      <c r="A38" s="16" t="s">
        <v>147</v>
      </c>
      <c r="B38" s="17" t="n">
        <v>45362</v>
      </c>
      <c r="C38" s="17" t="n">
        <v>45407</v>
      </c>
      <c r="D38" s="8" t="s">
        <v>25</v>
      </c>
      <c r="E38" s="18" t="s">
        <v>148</v>
      </c>
      <c r="F38" s="18" t="s">
        <v>149</v>
      </c>
      <c r="G38" s="19" t="s">
        <v>150</v>
      </c>
      <c r="H38" s="20" t="n">
        <v>65873.48</v>
      </c>
      <c r="I38" s="15" t="s">
        <v>22</v>
      </c>
      <c r="J38" s="18" t="s">
        <v>151</v>
      </c>
      <c r="K38" s="18" t="s">
        <v>41</v>
      </c>
    </row>
    <row r="39" customFormat="false" ht="15" hidden="false" customHeight="false" outlineLevel="0" collapsed="false">
      <c r="A39" s="9" t="s">
        <v>152</v>
      </c>
      <c r="B39" s="10" t="n">
        <v>45368</v>
      </c>
      <c r="C39" s="10" t="n">
        <v>45413</v>
      </c>
      <c r="D39" s="11" t="s">
        <v>12</v>
      </c>
      <c r="E39" s="12" t="s">
        <v>13</v>
      </c>
      <c r="F39" s="12" t="s">
        <v>20</v>
      </c>
      <c r="G39" s="13" t="s">
        <v>21</v>
      </c>
      <c r="H39" s="14" t="n">
        <v>2264.36</v>
      </c>
      <c r="I39" s="15" t="s">
        <v>22</v>
      </c>
      <c r="J39" s="12" t="s">
        <v>84</v>
      </c>
      <c r="K39" s="12" t="s">
        <v>23</v>
      </c>
    </row>
    <row r="40" customFormat="false" ht="15" hidden="false" customHeight="false" outlineLevel="0" collapsed="false">
      <c r="A40" s="2" t="s">
        <v>153</v>
      </c>
      <c r="B40" s="3" t="n">
        <v>45373</v>
      </c>
      <c r="C40" s="3" t="n">
        <v>45433</v>
      </c>
      <c r="D40" s="4" t="s">
        <v>12</v>
      </c>
      <c r="E40" s="5" t="s">
        <v>55</v>
      </c>
      <c r="F40" s="5" t="s">
        <v>154</v>
      </c>
      <c r="G40" s="6" t="s">
        <v>155</v>
      </c>
      <c r="H40" s="7" t="n">
        <v>13569.22</v>
      </c>
      <c r="I40" s="15" t="s">
        <v>22</v>
      </c>
      <c r="J40" s="5" t="s">
        <v>29</v>
      </c>
      <c r="K40" s="5"/>
    </row>
    <row r="41" customFormat="false" ht="15" hidden="false" customHeight="false" outlineLevel="0" collapsed="false">
      <c r="A41" s="9" t="s">
        <v>156</v>
      </c>
      <c r="B41" s="10" t="n">
        <v>45377</v>
      </c>
      <c r="C41" s="10" t="n">
        <v>45392</v>
      </c>
      <c r="D41" s="11" t="s">
        <v>12</v>
      </c>
      <c r="E41" s="12" t="s">
        <v>74</v>
      </c>
      <c r="F41" s="12" t="s">
        <v>157</v>
      </c>
      <c r="G41" s="13" t="s">
        <v>158</v>
      </c>
      <c r="H41" s="14" t="n">
        <v>2079.56</v>
      </c>
      <c r="I41" s="8" t="s">
        <v>16</v>
      </c>
      <c r="J41" s="12" t="s">
        <v>151</v>
      </c>
      <c r="K41" s="12" t="s">
        <v>89</v>
      </c>
    </row>
    <row r="42" customFormat="false" ht="15" hidden="false" customHeight="false" outlineLevel="0" collapsed="false">
      <c r="A42" s="2" t="s">
        <v>159</v>
      </c>
      <c r="B42" s="3" t="n">
        <v>45380</v>
      </c>
      <c r="C42" s="3" t="n">
        <v>45395</v>
      </c>
      <c r="D42" s="4" t="s">
        <v>12</v>
      </c>
      <c r="E42" s="5" t="s">
        <v>74</v>
      </c>
      <c r="F42" s="5" t="s">
        <v>160</v>
      </c>
      <c r="G42" s="6" t="s">
        <v>161</v>
      </c>
      <c r="H42" s="7" t="n">
        <v>7442.04</v>
      </c>
      <c r="I42" s="15" t="s">
        <v>22</v>
      </c>
      <c r="J42" s="5" t="s">
        <v>84</v>
      </c>
      <c r="K42" s="5" t="s">
        <v>35</v>
      </c>
    </row>
    <row r="43" customFormat="false" ht="15" hidden="false" customHeight="false" outlineLevel="0" collapsed="false">
      <c r="A43" s="21" t="s">
        <v>162</v>
      </c>
      <c r="B43" s="22" t="n">
        <v>45381</v>
      </c>
      <c r="C43" s="22" t="n">
        <v>45396</v>
      </c>
      <c r="D43" s="23" t="s">
        <v>25</v>
      </c>
      <c r="E43" s="24" t="s">
        <v>91</v>
      </c>
      <c r="F43" s="24" t="s">
        <v>52</v>
      </c>
      <c r="G43" s="25" t="s">
        <v>93</v>
      </c>
      <c r="H43" s="26" t="n">
        <v>52027.26</v>
      </c>
      <c r="I43" s="15" t="s">
        <v>22</v>
      </c>
      <c r="J43" s="24" t="s">
        <v>151</v>
      </c>
      <c r="K43" s="24" t="s">
        <v>53</v>
      </c>
    </row>
    <row r="44" customFormat="false" ht="15" hidden="false" customHeight="false" outlineLevel="0" collapsed="false">
      <c r="A44" s="2" t="s">
        <v>163</v>
      </c>
      <c r="B44" s="3" t="n">
        <v>45382</v>
      </c>
      <c r="C44" s="3" t="n">
        <v>45442</v>
      </c>
      <c r="D44" s="4" t="s">
        <v>12</v>
      </c>
      <c r="E44" s="5" t="s">
        <v>82</v>
      </c>
      <c r="F44" s="5" t="s">
        <v>127</v>
      </c>
      <c r="G44" s="6" t="s">
        <v>164</v>
      </c>
      <c r="H44" s="7" t="n">
        <v>4598.19</v>
      </c>
      <c r="I44" s="8" t="s">
        <v>16</v>
      </c>
      <c r="J44" s="5" t="s">
        <v>165</v>
      </c>
      <c r="K44" s="5" t="s">
        <v>53</v>
      </c>
    </row>
    <row r="45" customFormat="false" ht="15" hidden="false" customHeight="false" outlineLevel="0" collapsed="false">
      <c r="A45" s="9" t="s">
        <v>166</v>
      </c>
      <c r="B45" s="10" t="n">
        <v>45382</v>
      </c>
      <c r="C45" s="10" t="n">
        <v>45427</v>
      </c>
      <c r="D45" s="11" t="s">
        <v>12</v>
      </c>
      <c r="E45" s="12" t="s">
        <v>99</v>
      </c>
      <c r="F45" s="12" t="s">
        <v>86</v>
      </c>
      <c r="G45" s="13" t="s">
        <v>167</v>
      </c>
      <c r="H45" s="14" t="n">
        <v>16565.18</v>
      </c>
      <c r="I45" s="15" t="s">
        <v>22</v>
      </c>
      <c r="J45" s="12" t="s">
        <v>165</v>
      </c>
      <c r="K45" s="12" t="s">
        <v>58</v>
      </c>
    </row>
    <row r="46" customFormat="false" ht="15" hidden="false" customHeight="false" outlineLevel="0" collapsed="false">
      <c r="A46" s="2" t="s">
        <v>168</v>
      </c>
      <c r="B46" s="3" t="n">
        <v>45385</v>
      </c>
      <c r="C46" s="3" t="n">
        <v>45430</v>
      </c>
      <c r="D46" s="4" t="s">
        <v>12</v>
      </c>
      <c r="E46" s="5" t="s">
        <v>55</v>
      </c>
      <c r="F46" s="5" t="s">
        <v>20</v>
      </c>
      <c r="G46" s="6" t="s">
        <v>169</v>
      </c>
      <c r="H46" s="7" t="n">
        <v>15759.57</v>
      </c>
      <c r="I46" s="8" t="s">
        <v>16</v>
      </c>
      <c r="J46" s="5" t="s">
        <v>165</v>
      </c>
      <c r="K46" s="5"/>
    </row>
    <row r="47" customFormat="false" ht="15" hidden="false" customHeight="false" outlineLevel="0" collapsed="false">
      <c r="A47" s="9" t="s">
        <v>170</v>
      </c>
      <c r="B47" s="10" t="n">
        <v>45385</v>
      </c>
      <c r="C47" s="10" t="n">
        <v>45445</v>
      </c>
      <c r="D47" s="11" t="s">
        <v>12</v>
      </c>
      <c r="E47" s="12" t="s">
        <v>123</v>
      </c>
      <c r="F47" s="12" t="s">
        <v>171</v>
      </c>
      <c r="G47" s="13" t="s">
        <v>172</v>
      </c>
      <c r="H47" s="14" t="n">
        <v>14391.31</v>
      </c>
      <c r="I47" s="8" t="s">
        <v>16</v>
      </c>
      <c r="J47" s="12" t="s">
        <v>29</v>
      </c>
      <c r="K47" s="12" t="s">
        <v>89</v>
      </c>
    </row>
    <row r="48" customFormat="false" ht="15" hidden="false" customHeight="false" outlineLevel="0" collapsed="false">
      <c r="A48" s="2" t="s">
        <v>173</v>
      </c>
      <c r="B48" s="3" t="n">
        <v>45390</v>
      </c>
      <c r="C48" s="3" t="n">
        <v>45405</v>
      </c>
      <c r="D48" s="4" t="s">
        <v>12</v>
      </c>
      <c r="E48" s="5" t="s">
        <v>82</v>
      </c>
      <c r="F48" s="5" t="s">
        <v>174</v>
      </c>
      <c r="G48" s="6" t="s">
        <v>175</v>
      </c>
      <c r="H48" s="7" t="n">
        <v>4217.98</v>
      </c>
      <c r="I48" s="8" t="s">
        <v>16</v>
      </c>
      <c r="J48" s="5" t="s">
        <v>50</v>
      </c>
      <c r="K48" s="5" t="s">
        <v>23</v>
      </c>
    </row>
    <row r="49" customFormat="false" ht="15" hidden="false" customHeight="false" outlineLevel="0" collapsed="false">
      <c r="A49" s="9" t="s">
        <v>176</v>
      </c>
      <c r="B49" s="10" t="n">
        <v>45390</v>
      </c>
      <c r="C49" s="10" t="n">
        <v>45450</v>
      </c>
      <c r="D49" s="11" t="s">
        <v>12</v>
      </c>
      <c r="E49" s="12" t="s">
        <v>103</v>
      </c>
      <c r="F49" s="12" t="s">
        <v>154</v>
      </c>
      <c r="G49" s="13" t="s">
        <v>177</v>
      </c>
      <c r="H49" s="14" t="n">
        <v>15578.7</v>
      </c>
      <c r="I49" s="8" t="s">
        <v>16</v>
      </c>
      <c r="J49" s="12" t="s">
        <v>68</v>
      </c>
      <c r="K49" s="12"/>
    </row>
    <row r="50" customFormat="false" ht="15" hidden="false" customHeight="false" outlineLevel="0" collapsed="false">
      <c r="A50" s="2" t="s">
        <v>178</v>
      </c>
      <c r="B50" s="3" t="n">
        <v>45392</v>
      </c>
      <c r="C50" s="3" t="n">
        <v>45437</v>
      </c>
      <c r="D50" s="4" t="s">
        <v>12</v>
      </c>
      <c r="E50" s="5" t="s">
        <v>179</v>
      </c>
      <c r="F50" s="5" t="s">
        <v>75</v>
      </c>
      <c r="G50" s="6" t="s">
        <v>180</v>
      </c>
      <c r="H50" s="7" t="n">
        <v>17087.41</v>
      </c>
      <c r="I50" s="8" t="s">
        <v>16</v>
      </c>
      <c r="J50" s="5" t="s">
        <v>84</v>
      </c>
      <c r="K50" s="5" t="s">
        <v>45</v>
      </c>
    </row>
    <row r="51" customFormat="false" ht="15" hidden="false" customHeight="false" outlineLevel="0" collapsed="false">
      <c r="A51" s="9" t="s">
        <v>181</v>
      </c>
      <c r="B51" s="10" t="n">
        <v>45393</v>
      </c>
      <c r="C51" s="10" t="n">
        <v>45453</v>
      </c>
      <c r="D51" s="11" t="s">
        <v>12</v>
      </c>
      <c r="E51" s="12" t="s">
        <v>123</v>
      </c>
      <c r="F51" s="12" t="s">
        <v>182</v>
      </c>
      <c r="G51" s="13" t="s">
        <v>183</v>
      </c>
      <c r="H51" s="14" t="n">
        <v>10668.39</v>
      </c>
      <c r="I51" s="8" t="s">
        <v>16</v>
      </c>
      <c r="J51" s="12" t="s">
        <v>34</v>
      </c>
      <c r="K51" s="12" t="s">
        <v>53</v>
      </c>
    </row>
    <row r="52" customFormat="false" ht="15" hidden="false" customHeight="false" outlineLevel="0" collapsed="false">
      <c r="A52" s="2" t="s">
        <v>184</v>
      </c>
      <c r="B52" s="3" t="n">
        <v>45393</v>
      </c>
      <c r="C52" s="3" t="n">
        <v>45423</v>
      </c>
      <c r="D52" s="4" t="s">
        <v>12</v>
      </c>
      <c r="E52" s="5" t="s">
        <v>103</v>
      </c>
      <c r="F52" s="5" t="s">
        <v>185</v>
      </c>
      <c r="G52" s="6" t="s">
        <v>186</v>
      </c>
      <c r="H52" s="7" t="n">
        <v>3033.65</v>
      </c>
      <c r="I52" s="15" t="s">
        <v>22</v>
      </c>
      <c r="J52" s="5" t="s">
        <v>151</v>
      </c>
      <c r="K52" s="5" t="s">
        <v>18</v>
      </c>
    </row>
    <row r="53" customFormat="false" ht="15" hidden="false" customHeight="false" outlineLevel="0" collapsed="false">
      <c r="A53" s="9" t="s">
        <v>187</v>
      </c>
      <c r="B53" s="10" t="n">
        <v>45399</v>
      </c>
      <c r="C53" s="10" t="n">
        <v>45429</v>
      </c>
      <c r="D53" s="11" t="s">
        <v>12</v>
      </c>
      <c r="E53" s="12" t="s">
        <v>13</v>
      </c>
      <c r="F53" s="12" t="s">
        <v>171</v>
      </c>
      <c r="G53" s="13" t="s">
        <v>188</v>
      </c>
      <c r="H53" s="14" t="n">
        <v>14075.07</v>
      </c>
      <c r="I53" s="15" t="s">
        <v>22</v>
      </c>
      <c r="J53" s="12" t="s">
        <v>84</v>
      </c>
      <c r="K53" s="12" t="s">
        <v>53</v>
      </c>
    </row>
    <row r="54" customFormat="false" ht="15" hidden="false" customHeight="false" outlineLevel="0" collapsed="false">
      <c r="A54" s="16" t="s">
        <v>189</v>
      </c>
      <c r="B54" s="17" t="n">
        <v>45400</v>
      </c>
      <c r="C54" s="17" t="n">
        <v>45430</v>
      </c>
      <c r="D54" s="8" t="s">
        <v>25</v>
      </c>
      <c r="E54" s="18" t="s">
        <v>31</v>
      </c>
      <c r="F54" s="18" t="s">
        <v>38</v>
      </c>
      <c r="G54" s="19" t="s">
        <v>33</v>
      </c>
      <c r="H54" s="20" t="n">
        <v>26288.87</v>
      </c>
      <c r="I54" s="8" t="s">
        <v>16</v>
      </c>
      <c r="J54" s="18" t="s">
        <v>190</v>
      </c>
      <c r="K54" s="18" t="s">
        <v>58</v>
      </c>
    </row>
    <row r="55" customFormat="false" ht="15" hidden="false" customHeight="false" outlineLevel="0" collapsed="false">
      <c r="A55" s="9" t="s">
        <v>191</v>
      </c>
      <c r="B55" s="10" t="n">
        <v>45401</v>
      </c>
      <c r="C55" s="10" t="n">
        <v>45446</v>
      </c>
      <c r="D55" s="11" t="s">
        <v>12</v>
      </c>
      <c r="E55" s="12" t="s">
        <v>74</v>
      </c>
      <c r="F55" s="12" t="s">
        <v>65</v>
      </c>
      <c r="G55" s="13" t="s">
        <v>192</v>
      </c>
      <c r="H55" s="14" t="n">
        <v>6379.81</v>
      </c>
      <c r="I55" s="8" t="s">
        <v>16</v>
      </c>
      <c r="J55" s="12" t="s">
        <v>94</v>
      </c>
      <c r="K55" s="12" t="s">
        <v>23</v>
      </c>
    </row>
    <row r="56" customFormat="false" ht="15" hidden="false" customHeight="false" outlineLevel="0" collapsed="false">
      <c r="A56" s="2" t="s">
        <v>193</v>
      </c>
      <c r="B56" s="3" t="n">
        <v>45405</v>
      </c>
      <c r="C56" s="3" t="n">
        <v>45435</v>
      </c>
      <c r="D56" s="4" t="s">
        <v>12</v>
      </c>
      <c r="E56" s="5" t="s">
        <v>55</v>
      </c>
      <c r="F56" s="5" t="s">
        <v>171</v>
      </c>
      <c r="G56" s="6" t="s">
        <v>194</v>
      </c>
      <c r="H56" s="7" t="n">
        <v>5597.66</v>
      </c>
      <c r="I56" s="8" t="s">
        <v>16</v>
      </c>
      <c r="J56" s="5" t="s">
        <v>195</v>
      </c>
      <c r="K56" s="5" t="s">
        <v>18</v>
      </c>
    </row>
    <row r="57" customFormat="false" ht="15" hidden="false" customHeight="false" outlineLevel="0" collapsed="false">
      <c r="A57" s="21" t="s">
        <v>196</v>
      </c>
      <c r="B57" s="22" t="n">
        <v>45407</v>
      </c>
      <c r="C57" s="22" t="n">
        <v>45437</v>
      </c>
      <c r="D57" s="23" t="s">
        <v>25</v>
      </c>
      <c r="E57" s="24" t="s">
        <v>37</v>
      </c>
      <c r="F57" s="24" t="s">
        <v>79</v>
      </c>
      <c r="G57" s="25" t="s">
        <v>39</v>
      </c>
      <c r="H57" s="26" t="n">
        <v>23944.93</v>
      </c>
      <c r="I57" s="8" t="s">
        <v>16</v>
      </c>
      <c r="J57" s="24" t="s">
        <v>130</v>
      </c>
      <c r="K57" s="24"/>
    </row>
    <row r="58" customFormat="false" ht="15" hidden="false" customHeight="false" outlineLevel="0" collapsed="false">
      <c r="A58" s="2" t="s">
        <v>197</v>
      </c>
      <c r="B58" s="3" t="n">
        <v>45409</v>
      </c>
      <c r="C58" s="3" t="n">
        <v>45424</v>
      </c>
      <c r="D58" s="4" t="s">
        <v>12</v>
      </c>
      <c r="E58" s="5" t="s">
        <v>103</v>
      </c>
      <c r="F58" s="5" t="s">
        <v>198</v>
      </c>
      <c r="G58" s="6" t="s">
        <v>199</v>
      </c>
      <c r="H58" s="7" t="n">
        <v>4929.17</v>
      </c>
      <c r="I58" s="8" t="s">
        <v>16</v>
      </c>
      <c r="J58" s="5" t="s">
        <v>151</v>
      </c>
      <c r="K58" s="5" t="s">
        <v>45</v>
      </c>
    </row>
    <row r="59" customFormat="false" ht="15" hidden="false" customHeight="false" outlineLevel="0" collapsed="false">
      <c r="A59" s="21" t="s">
        <v>200</v>
      </c>
      <c r="B59" s="22" t="n">
        <v>45412</v>
      </c>
      <c r="C59" s="22" t="n">
        <v>45442</v>
      </c>
      <c r="D59" s="23" t="s">
        <v>25</v>
      </c>
      <c r="E59" s="24" t="s">
        <v>91</v>
      </c>
      <c r="F59" s="24" t="s">
        <v>92</v>
      </c>
      <c r="G59" s="25" t="s">
        <v>93</v>
      </c>
      <c r="H59" s="26" t="n">
        <v>29398.33</v>
      </c>
      <c r="I59" s="15" t="s">
        <v>22</v>
      </c>
      <c r="J59" s="24" t="s">
        <v>111</v>
      </c>
      <c r="K59" s="24"/>
    </row>
    <row r="60" customFormat="false" ht="15" hidden="false" customHeight="false" outlineLevel="0" collapsed="false">
      <c r="A60" s="16" t="s">
        <v>201</v>
      </c>
      <c r="B60" s="17" t="n">
        <v>45414</v>
      </c>
      <c r="C60" s="17" t="n">
        <v>45474</v>
      </c>
      <c r="D60" s="8" t="s">
        <v>25</v>
      </c>
      <c r="E60" s="18" t="s">
        <v>202</v>
      </c>
      <c r="F60" s="18" t="s">
        <v>79</v>
      </c>
      <c r="G60" s="19" t="s">
        <v>203</v>
      </c>
      <c r="H60" s="20" t="n">
        <v>10537.2</v>
      </c>
      <c r="I60" s="15" t="s">
        <v>22</v>
      </c>
      <c r="J60" s="18" t="s">
        <v>84</v>
      </c>
      <c r="K60" s="18"/>
    </row>
    <row r="61" customFormat="false" ht="15" hidden="false" customHeight="false" outlineLevel="0" collapsed="false">
      <c r="A61" s="9" t="s">
        <v>204</v>
      </c>
      <c r="B61" s="10" t="n">
        <v>45418</v>
      </c>
      <c r="C61" s="10" t="n">
        <v>45463</v>
      </c>
      <c r="D61" s="11" t="s">
        <v>12</v>
      </c>
      <c r="E61" s="12" t="s">
        <v>99</v>
      </c>
      <c r="F61" s="12" t="s">
        <v>205</v>
      </c>
      <c r="G61" s="13" t="s">
        <v>206</v>
      </c>
      <c r="H61" s="14" t="n">
        <v>16176.14</v>
      </c>
      <c r="I61" s="15" t="s">
        <v>22</v>
      </c>
      <c r="J61" s="12" t="s">
        <v>68</v>
      </c>
      <c r="K61" s="12" t="s">
        <v>23</v>
      </c>
    </row>
    <row r="62" customFormat="false" ht="15" hidden="false" customHeight="false" outlineLevel="0" collapsed="false">
      <c r="A62" s="2" t="s">
        <v>207</v>
      </c>
      <c r="B62" s="3" t="n">
        <v>45421</v>
      </c>
      <c r="C62" s="3" t="n">
        <v>45481</v>
      </c>
      <c r="D62" s="4" t="s">
        <v>12</v>
      </c>
      <c r="E62" s="5" t="s">
        <v>13</v>
      </c>
      <c r="F62" s="5" t="s">
        <v>208</v>
      </c>
      <c r="G62" s="6" t="s">
        <v>209</v>
      </c>
      <c r="H62" s="7" t="n">
        <v>1316.38</v>
      </c>
      <c r="I62" s="15" t="s">
        <v>22</v>
      </c>
      <c r="J62" s="5" t="s">
        <v>50</v>
      </c>
      <c r="K62" s="5" t="s">
        <v>18</v>
      </c>
    </row>
    <row r="63" customFormat="false" ht="15" hidden="false" customHeight="false" outlineLevel="0" collapsed="false">
      <c r="A63" s="21" t="s">
        <v>210</v>
      </c>
      <c r="B63" s="22" t="n">
        <v>45421</v>
      </c>
      <c r="C63" s="22" t="n">
        <v>45451</v>
      </c>
      <c r="D63" s="23" t="s">
        <v>25</v>
      </c>
      <c r="E63" s="24" t="s">
        <v>60</v>
      </c>
      <c r="F63" s="24" t="s">
        <v>79</v>
      </c>
      <c r="G63" s="25" t="s">
        <v>62</v>
      </c>
      <c r="H63" s="26" t="n">
        <v>44748.61</v>
      </c>
      <c r="I63" s="8" t="s">
        <v>16</v>
      </c>
      <c r="J63" s="24" t="s">
        <v>151</v>
      </c>
      <c r="K63" s="24" t="s">
        <v>45</v>
      </c>
    </row>
    <row r="64" customFormat="false" ht="15" hidden="false" customHeight="false" outlineLevel="0" collapsed="false">
      <c r="A64" s="2" t="s">
        <v>211</v>
      </c>
      <c r="B64" s="3" t="n">
        <v>45425</v>
      </c>
      <c r="C64" s="3" t="n">
        <v>45455</v>
      </c>
      <c r="D64" s="4" t="s">
        <v>12</v>
      </c>
      <c r="E64" s="5" t="s">
        <v>103</v>
      </c>
      <c r="F64" s="5" t="s">
        <v>20</v>
      </c>
      <c r="G64" s="6" t="s">
        <v>212</v>
      </c>
      <c r="H64" s="7" t="n">
        <v>4891.22</v>
      </c>
      <c r="I64" s="8" t="s">
        <v>16</v>
      </c>
      <c r="J64" s="5" t="s">
        <v>213</v>
      </c>
      <c r="K64" s="5" t="s">
        <v>89</v>
      </c>
    </row>
    <row r="65" customFormat="false" ht="15" hidden="false" customHeight="false" outlineLevel="0" collapsed="false">
      <c r="A65" s="9" t="s">
        <v>214</v>
      </c>
      <c r="B65" s="10" t="n">
        <v>45429</v>
      </c>
      <c r="C65" s="10" t="n">
        <v>45474</v>
      </c>
      <c r="D65" s="11" t="s">
        <v>12</v>
      </c>
      <c r="E65" s="12" t="s">
        <v>123</v>
      </c>
      <c r="F65" s="12" t="s">
        <v>208</v>
      </c>
      <c r="G65" s="13" t="s">
        <v>215</v>
      </c>
      <c r="H65" s="14" t="n">
        <v>16833</v>
      </c>
      <c r="I65" s="8" t="s">
        <v>16</v>
      </c>
      <c r="J65" s="12" t="s">
        <v>94</v>
      </c>
      <c r="K65" s="12" t="s">
        <v>35</v>
      </c>
    </row>
    <row r="66" customFormat="false" ht="15" hidden="false" customHeight="false" outlineLevel="0" collapsed="false">
      <c r="A66" s="2" t="s">
        <v>216</v>
      </c>
      <c r="B66" s="3" t="n">
        <v>45431</v>
      </c>
      <c r="C66" s="3" t="n">
        <v>45476</v>
      </c>
      <c r="D66" s="4" t="s">
        <v>12</v>
      </c>
      <c r="E66" s="5" t="s">
        <v>99</v>
      </c>
      <c r="F66" s="5" t="s">
        <v>124</v>
      </c>
      <c r="G66" s="6" t="s">
        <v>217</v>
      </c>
      <c r="H66" s="7" t="n">
        <v>12959.38</v>
      </c>
      <c r="I66" s="8" t="s">
        <v>16</v>
      </c>
      <c r="J66" s="5" t="s">
        <v>213</v>
      </c>
      <c r="K66" s="5" t="s">
        <v>89</v>
      </c>
    </row>
    <row r="67" customFormat="false" ht="15" hidden="false" customHeight="false" outlineLevel="0" collapsed="false">
      <c r="A67" s="9" t="s">
        <v>218</v>
      </c>
      <c r="B67" s="10" t="n">
        <v>45436</v>
      </c>
      <c r="C67" s="10" t="n">
        <v>45451</v>
      </c>
      <c r="D67" s="11" t="s">
        <v>12</v>
      </c>
      <c r="E67" s="12" t="s">
        <v>123</v>
      </c>
      <c r="F67" s="12" t="s">
        <v>157</v>
      </c>
      <c r="G67" s="13" t="s">
        <v>219</v>
      </c>
      <c r="H67" s="14" t="n">
        <v>4210.57</v>
      </c>
      <c r="I67" s="8" t="s">
        <v>16</v>
      </c>
      <c r="J67" s="12" t="s">
        <v>63</v>
      </c>
      <c r="K67" s="12" t="s">
        <v>18</v>
      </c>
    </row>
    <row r="68" customFormat="false" ht="15" hidden="false" customHeight="false" outlineLevel="0" collapsed="false">
      <c r="A68" s="2" t="s">
        <v>220</v>
      </c>
      <c r="B68" s="3" t="n">
        <v>45437</v>
      </c>
      <c r="C68" s="3" t="n">
        <v>45467</v>
      </c>
      <c r="D68" s="4" t="s">
        <v>12</v>
      </c>
      <c r="E68" s="5" t="s">
        <v>55</v>
      </c>
      <c r="F68" s="5" t="s">
        <v>208</v>
      </c>
      <c r="G68" s="6" t="s">
        <v>221</v>
      </c>
      <c r="H68" s="7" t="n">
        <v>9846.44</v>
      </c>
      <c r="I68" s="8" t="s">
        <v>16</v>
      </c>
      <c r="J68" s="5" t="s">
        <v>84</v>
      </c>
      <c r="K68" s="5"/>
    </row>
    <row r="69" customFormat="false" ht="15" hidden="false" customHeight="false" outlineLevel="0" collapsed="false">
      <c r="A69" s="21" t="s">
        <v>222</v>
      </c>
      <c r="B69" s="22" t="n">
        <v>45439</v>
      </c>
      <c r="C69" s="22" t="n">
        <v>45484</v>
      </c>
      <c r="D69" s="23" t="s">
        <v>25</v>
      </c>
      <c r="E69" s="24" t="s">
        <v>60</v>
      </c>
      <c r="F69" s="24" t="s">
        <v>223</v>
      </c>
      <c r="G69" s="25" t="s">
        <v>62</v>
      </c>
      <c r="H69" s="26" t="n">
        <v>44399.09</v>
      </c>
      <c r="I69" s="8" t="s">
        <v>16</v>
      </c>
      <c r="J69" s="24" t="s">
        <v>136</v>
      </c>
      <c r="K69" s="24" t="s">
        <v>35</v>
      </c>
    </row>
    <row r="70" customFormat="false" ht="15" hidden="false" customHeight="false" outlineLevel="0" collapsed="false">
      <c r="A70" s="2" t="s">
        <v>224</v>
      </c>
      <c r="B70" s="3" t="n">
        <v>45442</v>
      </c>
      <c r="C70" s="3" t="n">
        <v>45502</v>
      </c>
      <c r="D70" s="4" t="s">
        <v>12</v>
      </c>
      <c r="E70" s="5" t="s">
        <v>74</v>
      </c>
      <c r="F70" s="5" t="s">
        <v>182</v>
      </c>
      <c r="G70" s="6" t="s">
        <v>225</v>
      </c>
      <c r="H70" s="7" t="n">
        <v>207.93</v>
      </c>
      <c r="I70" s="15" t="s">
        <v>22</v>
      </c>
      <c r="J70" s="5" t="s">
        <v>94</v>
      </c>
      <c r="K70" s="5" t="s">
        <v>89</v>
      </c>
    </row>
    <row r="71" customFormat="false" ht="15" hidden="false" customHeight="false" outlineLevel="0" collapsed="false">
      <c r="A71" s="21" t="s">
        <v>226</v>
      </c>
      <c r="B71" s="22" t="n">
        <v>45442</v>
      </c>
      <c r="C71" s="22" t="n">
        <v>45487</v>
      </c>
      <c r="D71" s="23" t="s">
        <v>25</v>
      </c>
      <c r="E71" s="24" t="s">
        <v>60</v>
      </c>
      <c r="F71" s="24" t="s">
        <v>227</v>
      </c>
      <c r="G71" s="25" t="s">
        <v>62</v>
      </c>
      <c r="H71" s="26" t="n">
        <v>13053.81</v>
      </c>
      <c r="I71" s="15" t="s">
        <v>22</v>
      </c>
      <c r="J71" s="24" t="s">
        <v>40</v>
      </c>
      <c r="K71" s="24" t="s">
        <v>53</v>
      </c>
    </row>
    <row r="72" customFormat="false" ht="15" hidden="false" customHeight="false" outlineLevel="0" collapsed="false">
      <c r="A72" s="2" t="s">
        <v>228</v>
      </c>
      <c r="B72" s="3" t="n">
        <v>45448</v>
      </c>
      <c r="C72" s="3" t="n">
        <v>45493</v>
      </c>
      <c r="D72" s="4" t="s">
        <v>12</v>
      </c>
      <c r="E72" s="5" t="s">
        <v>55</v>
      </c>
      <c r="F72" s="5" t="s">
        <v>127</v>
      </c>
      <c r="G72" s="6" t="s">
        <v>229</v>
      </c>
      <c r="H72" s="7" t="n">
        <v>9626.96</v>
      </c>
      <c r="I72" s="15" t="s">
        <v>22</v>
      </c>
      <c r="J72" s="5" t="s">
        <v>80</v>
      </c>
      <c r="K72" s="5"/>
    </row>
    <row r="73" customFormat="false" ht="15" hidden="false" customHeight="false" outlineLevel="0" collapsed="false">
      <c r="A73" s="21" t="s">
        <v>230</v>
      </c>
      <c r="B73" s="22" t="n">
        <v>45449</v>
      </c>
      <c r="C73" s="22" t="n">
        <v>45464</v>
      </c>
      <c r="D73" s="23" t="s">
        <v>25</v>
      </c>
      <c r="E73" s="24" t="s">
        <v>26</v>
      </c>
      <c r="F73" s="24" t="s">
        <v>43</v>
      </c>
      <c r="G73" s="25" t="s">
        <v>28</v>
      </c>
      <c r="H73" s="26" t="n">
        <v>73872.31</v>
      </c>
      <c r="I73" s="8" t="s">
        <v>16</v>
      </c>
      <c r="J73" s="24" t="s">
        <v>231</v>
      </c>
      <c r="K73" s="24" t="s">
        <v>23</v>
      </c>
    </row>
    <row r="74" customFormat="false" ht="15" hidden="false" customHeight="false" outlineLevel="0" collapsed="false">
      <c r="A74" s="2" t="s">
        <v>232</v>
      </c>
      <c r="B74" s="3" t="n">
        <v>45453</v>
      </c>
      <c r="C74" s="3" t="n">
        <v>45468</v>
      </c>
      <c r="D74" s="4" t="s">
        <v>12</v>
      </c>
      <c r="E74" s="5" t="s">
        <v>82</v>
      </c>
      <c r="F74" s="5" t="s">
        <v>182</v>
      </c>
      <c r="G74" s="6" t="s">
        <v>233</v>
      </c>
      <c r="H74" s="7" t="n">
        <v>11237.69</v>
      </c>
      <c r="I74" s="15" t="s">
        <v>22</v>
      </c>
      <c r="J74" s="5" t="s">
        <v>117</v>
      </c>
      <c r="K74" s="5" t="s">
        <v>41</v>
      </c>
    </row>
    <row r="75" customFormat="false" ht="15" hidden="false" customHeight="false" outlineLevel="0" collapsed="false">
      <c r="A75" s="21" t="s">
        <v>234</v>
      </c>
      <c r="B75" s="22" t="n">
        <v>45453</v>
      </c>
      <c r="C75" s="22" t="n">
        <v>45483</v>
      </c>
      <c r="D75" s="23" t="s">
        <v>25</v>
      </c>
      <c r="E75" s="24" t="s">
        <v>202</v>
      </c>
      <c r="F75" s="24" t="s">
        <v>79</v>
      </c>
      <c r="G75" s="25" t="s">
        <v>203</v>
      </c>
      <c r="H75" s="26" t="n">
        <v>36496.78</v>
      </c>
      <c r="I75" s="15" t="s">
        <v>22</v>
      </c>
      <c r="J75" s="24" t="s">
        <v>63</v>
      </c>
      <c r="K75" s="24" t="s">
        <v>89</v>
      </c>
    </row>
    <row r="76" customFormat="false" ht="15" hidden="false" customHeight="false" outlineLevel="0" collapsed="false">
      <c r="A76" s="2" t="s">
        <v>235</v>
      </c>
      <c r="B76" s="3" t="n">
        <v>45455</v>
      </c>
      <c r="C76" s="3" t="n">
        <v>45470</v>
      </c>
      <c r="D76" s="4" t="s">
        <v>12</v>
      </c>
      <c r="E76" s="5" t="s">
        <v>74</v>
      </c>
      <c r="F76" s="5" t="s">
        <v>236</v>
      </c>
      <c r="G76" s="6" t="s">
        <v>237</v>
      </c>
      <c r="H76" s="7" t="n">
        <v>4278.02</v>
      </c>
      <c r="I76" s="15" t="s">
        <v>22</v>
      </c>
      <c r="J76" s="5" t="s">
        <v>136</v>
      </c>
      <c r="K76" s="5" t="s">
        <v>23</v>
      </c>
    </row>
    <row r="77" customFormat="false" ht="15" hidden="false" customHeight="false" outlineLevel="0" collapsed="false">
      <c r="A77" s="21" t="s">
        <v>238</v>
      </c>
      <c r="B77" s="22" t="n">
        <v>45455</v>
      </c>
      <c r="C77" s="22" t="n">
        <v>45470</v>
      </c>
      <c r="D77" s="23" t="s">
        <v>25</v>
      </c>
      <c r="E77" s="24" t="s">
        <v>60</v>
      </c>
      <c r="F77" s="24" t="s">
        <v>239</v>
      </c>
      <c r="G77" s="25" t="s">
        <v>62</v>
      </c>
      <c r="H77" s="26" t="n">
        <v>12475.97</v>
      </c>
      <c r="I77" s="8" t="s">
        <v>16</v>
      </c>
      <c r="J77" s="24" t="s">
        <v>151</v>
      </c>
      <c r="K77" s="24" t="s">
        <v>35</v>
      </c>
    </row>
    <row r="78" customFormat="false" ht="15" hidden="false" customHeight="false" outlineLevel="0" collapsed="false">
      <c r="A78" s="2" t="s">
        <v>240</v>
      </c>
      <c r="B78" s="3" t="n">
        <v>45457</v>
      </c>
      <c r="C78" s="3" t="n">
        <v>45517</v>
      </c>
      <c r="D78" s="4" t="s">
        <v>12</v>
      </c>
      <c r="E78" s="5" t="s">
        <v>82</v>
      </c>
      <c r="F78" s="5" t="s">
        <v>241</v>
      </c>
      <c r="G78" s="6" t="s">
        <v>242</v>
      </c>
      <c r="H78" s="7" t="n">
        <v>16734.41</v>
      </c>
      <c r="I78" s="8" t="s">
        <v>16</v>
      </c>
      <c r="J78" s="5" t="s">
        <v>195</v>
      </c>
      <c r="K78" s="5" t="s">
        <v>18</v>
      </c>
    </row>
    <row r="79" customFormat="false" ht="15" hidden="false" customHeight="false" outlineLevel="0" collapsed="false">
      <c r="A79" s="9" t="s">
        <v>243</v>
      </c>
      <c r="B79" s="10" t="n">
        <v>45460</v>
      </c>
      <c r="C79" s="10" t="n">
        <v>45520</v>
      </c>
      <c r="D79" s="11" t="s">
        <v>12</v>
      </c>
      <c r="E79" s="12" t="s">
        <v>55</v>
      </c>
      <c r="F79" s="12" t="s">
        <v>157</v>
      </c>
      <c r="G79" s="13" t="s">
        <v>244</v>
      </c>
      <c r="H79" s="14" t="n">
        <v>11977.12</v>
      </c>
      <c r="I79" s="15" t="s">
        <v>22</v>
      </c>
      <c r="J79" s="12" t="s">
        <v>88</v>
      </c>
      <c r="K79" s="12"/>
    </row>
    <row r="80" customFormat="false" ht="15" hidden="false" customHeight="false" outlineLevel="0" collapsed="false">
      <c r="A80" s="16" t="s">
        <v>245</v>
      </c>
      <c r="B80" s="17" t="n">
        <v>45461</v>
      </c>
      <c r="C80" s="17" t="n">
        <v>45476</v>
      </c>
      <c r="D80" s="8" t="s">
        <v>25</v>
      </c>
      <c r="E80" s="18" t="s">
        <v>202</v>
      </c>
      <c r="F80" s="18" t="s">
        <v>223</v>
      </c>
      <c r="G80" s="19" t="s">
        <v>203</v>
      </c>
      <c r="H80" s="20" t="n">
        <v>40631.45</v>
      </c>
      <c r="I80" s="15" t="s">
        <v>22</v>
      </c>
      <c r="J80" s="18" t="s">
        <v>231</v>
      </c>
      <c r="K80" s="18" t="s">
        <v>53</v>
      </c>
    </row>
    <row r="81" customFormat="false" ht="15" hidden="false" customHeight="false" outlineLevel="0" collapsed="false">
      <c r="A81" s="9" t="s">
        <v>246</v>
      </c>
      <c r="B81" s="10" t="n">
        <v>45466</v>
      </c>
      <c r="C81" s="10" t="n">
        <v>45511</v>
      </c>
      <c r="D81" s="11" t="s">
        <v>12</v>
      </c>
      <c r="E81" s="12" t="s">
        <v>74</v>
      </c>
      <c r="F81" s="12" t="s">
        <v>124</v>
      </c>
      <c r="G81" s="13" t="s">
        <v>247</v>
      </c>
      <c r="H81" s="14" t="n">
        <v>17236.25</v>
      </c>
      <c r="I81" s="8" t="s">
        <v>16</v>
      </c>
      <c r="J81" s="12" t="s">
        <v>117</v>
      </c>
      <c r="K81" s="12" t="s">
        <v>41</v>
      </c>
    </row>
    <row r="82" customFormat="false" ht="15" hidden="false" customHeight="false" outlineLevel="0" collapsed="false">
      <c r="A82" s="16" t="s">
        <v>248</v>
      </c>
      <c r="B82" s="17" t="n">
        <v>45468</v>
      </c>
      <c r="C82" s="17" t="n">
        <v>45528</v>
      </c>
      <c r="D82" s="8" t="s">
        <v>25</v>
      </c>
      <c r="E82" s="18" t="s">
        <v>70</v>
      </c>
      <c r="F82" s="18" t="s">
        <v>38</v>
      </c>
      <c r="G82" s="19" t="s">
        <v>71</v>
      </c>
      <c r="H82" s="20" t="n">
        <v>51670.8</v>
      </c>
      <c r="I82" s="15" t="s">
        <v>22</v>
      </c>
      <c r="J82" s="18" t="s">
        <v>190</v>
      </c>
      <c r="K82" s="18"/>
    </row>
    <row r="83" customFormat="false" ht="15" hidden="false" customHeight="false" outlineLevel="0" collapsed="false">
      <c r="A83" s="21" t="s">
        <v>249</v>
      </c>
      <c r="B83" s="22" t="n">
        <v>45471</v>
      </c>
      <c r="C83" s="22" t="n">
        <v>45486</v>
      </c>
      <c r="D83" s="23" t="s">
        <v>25</v>
      </c>
      <c r="E83" s="24" t="s">
        <v>37</v>
      </c>
      <c r="F83" s="24" t="s">
        <v>239</v>
      </c>
      <c r="G83" s="25" t="s">
        <v>39</v>
      </c>
      <c r="H83" s="26" t="n">
        <v>43558.28</v>
      </c>
      <c r="I83" s="15" t="s">
        <v>22</v>
      </c>
      <c r="J83" s="24" t="s">
        <v>50</v>
      </c>
      <c r="K83" s="24" t="s">
        <v>53</v>
      </c>
    </row>
    <row r="84" customFormat="false" ht="15" hidden="false" customHeight="false" outlineLevel="0" collapsed="false">
      <c r="A84" s="2" t="s">
        <v>250</v>
      </c>
      <c r="B84" s="3" t="n">
        <v>45472</v>
      </c>
      <c r="C84" s="3" t="n">
        <v>45532</v>
      </c>
      <c r="D84" s="4" t="s">
        <v>12</v>
      </c>
      <c r="E84" s="5" t="s">
        <v>47</v>
      </c>
      <c r="F84" s="5" t="s">
        <v>157</v>
      </c>
      <c r="G84" s="6" t="s">
        <v>251</v>
      </c>
      <c r="H84" s="7" t="n">
        <v>4637.56</v>
      </c>
      <c r="I84" s="8" t="s">
        <v>16</v>
      </c>
      <c r="J84" s="5" t="s">
        <v>80</v>
      </c>
      <c r="K84" s="5" t="s">
        <v>23</v>
      </c>
    </row>
    <row r="85" customFormat="false" ht="15" hidden="false" customHeight="false" outlineLevel="0" collapsed="false">
      <c r="A85" s="21" t="s">
        <v>252</v>
      </c>
      <c r="B85" s="22" t="n">
        <v>45475</v>
      </c>
      <c r="C85" s="22" t="n">
        <v>45520</v>
      </c>
      <c r="D85" s="23" t="s">
        <v>25</v>
      </c>
      <c r="E85" s="24" t="s">
        <v>31</v>
      </c>
      <c r="F85" s="24" t="s">
        <v>253</v>
      </c>
      <c r="G85" s="25" t="s">
        <v>33</v>
      </c>
      <c r="H85" s="26" t="n">
        <v>73400.98</v>
      </c>
      <c r="I85" s="15" t="s">
        <v>22</v>
      </c>
      <c r="J85" s="24" t="s">
        <v>254</v>
      </c>
      <c r="K85" s="24" t="s">
        <v>89</v>
      </c>
    </row>
    <row r="86" customFormat="false" ht="15" hidden="false" customHeight="false" outlineLevel="0" collapsed="false">
      <c r="A86" s="16" t="s">
        <v>255</v>
      </c>
      <c r="B86" s="17" t="n">
        <v>45479</v>
      </c>
      <c r="C86" s="17" t="n">
        <v>45494</v>
      </c>
      <c r="D86" s="8" t="s">
        <v>25</v>
      </c>
      <c r="E86" s="18" t="s">
        <v>91</v>
      </c>
      <c r="F86" s="18" t="s">
        <v>253</v>
      </c>
      <c r="G86" s="19" t="s">
        <v>93</v>
      </c>
      <c r="H86" s="20" t="n">
        <v>21673.25</v>
      </c>
      <c r="I86" s="8" t="s">
        <v>16</v>
      </c>
      <c r="J86" s="18" t="s">
        <v>165</v>
      </c>
      <c r="K86" s="18" t="s">
        <v>45</v>
      </c>
    </row>
    <row r="87" customFormat="false" ht="15" hidden="false" customHeight="false" outlineLevel="0" collapsed="false">
      <c r="A87" s="9" t="s">
        <v>256</v>
      </c>
      <c r="B87" s="10" t="n">
        <v>45486</v>
      </c>
      <c r="C87" s="10" t="n">
        <v>45531</v>
      </c>
      <c r="D87" s="11" t="s">
        <v>12</v>
      </c>
      <c r="E87" s="12" t="s">
        <v>55</v>
      </c>
      <c r="F87" s="12" t="s">
        <v>109</v>
      </c>
      <c r="G87" s="13" t="s">
        <v>257</v>
      </c>
      <c r="H87" s="14" t="n">
        <v>15038.87</v>
      </c>
      <c r="I87" s="8" t="s">
        <v>16</v>
      </c>
      <c r="J87" s="12" t="s">
        <v>68</v>
      </c>
      <c r="K87" s="12" t="s">
        <v>45</v>
      </c>
    </row>
    <row r="88" customFormat="false" ht="15" hidden="false" customHeight="false" outlineLevel="0" collapsed="false">
      <c r="A88" s="2" t="s">
        <v>258</v>
      </c>
      <c r="B88" s="3" t="n">
        <v>45486</v>
      </c>
      <c r="C88" s="3" t="n">
        <v>45531</v>
      </c>
      <c r="D88" s="4" t="s">
        <v>12</v>
      </c>
      <c r="E88" s="5" t="s">
        <v>123</v>
      </c>
      <c r="F88" s="5" t="s">
        <v>182</v>
      </c>
      <c r="G88" s="6" t="s">
        <v>183</v>
      </c>
      <c r="H88" s="7" t="n">
        <v>5984.2</v>
      </c>
      <c r="I88" s="15" t="s">
        <v>22</v>
      </c>
      <c r="J88" s="5" t="s">
        <v>29</v>
      </c>
      <c r="K88" s="5" t="s">
        <v>58</v>
      </c>
    </row>
    <row r="89" customFormat="false" ht="15" hidden="false" customHeight="false" outlineLevel="0" collapsed="false">
      <c r="A89" s="9" t="s">
        <v>259</v>
      </c>
      <c r="B89" s="10" t="n">
        <v>45486</v>
      </c>
      <c r="C89" s="10" t="n">
        <v>45546</v>
      </c>
      <c r="D89" s="11" t="s">
        <v>12</v>
      </c>
      <c r="E89" s="12" t="s">
        <v>55</v>
      </c>
      <c r="F89" s="12" t="s">
        <v>157</v>
      </c>
      <c r="G89" s="13" t="s">
        <v>244</v>
      </c>
      <c r="H89" s="14" t="n">
        <v>15503.97</v>
      </c>
      <c r="I89" s="15" t="s">
        <v>22</v>
      </c>
      <c r="J89" s="12" t="s">
        <v>63</v>
      </c>
      <c r="K89" s="12" t="s">
        <v>18</v>
      </c>
    </row>
    <row r="90" customFormat="false" ht="15" hidden="false" customHeight="false" outlineLevel="0" collapsed="false">
      <c r="A90" s="16" t="s">
        <v>260</v>
      </c>
      <c r="B90" s="17" t="n">
        <v>45487</v>
      </c>
      <c r="C90" s="17" t="n">
        <v>45532</v>
      </c>
      <c r="D90" s="8" t="s">
        <v>25</v>
      </c>
      <c r="E90" s="18" t="s">
        <v>202</v>
      </c>
      <c r="F90" s="18" t="s">
        <v>142</v>
      </c>
      <c r="G90" s="19" t="s">
        <v>203</v>
      </c>
      <c r="H90" s="20" t="n">
        <v>46393.44</v>
      </c>
      <c r="I90" s="8" t="s">
        <v>16</v>
      </c>
      <c r="J90" s="18" t="s">
        <v>143</v>
      </c>
      <c r="K90" s="18" t="s">
        <v>41</v>
      </c>
    </row>
    <row r="91" customFormat="false" ht="15" hidden="false" customHeight="false" outlineLevel="0" collapsed="false">
      <c r="A91" s="21" t="s">
        <v>261</v>
      </c>
      <c r="B91" s="22" t="n">
        <v>45488</v>
      </c>
      <c r="C91" s="22" t="n">
        <v>45518</v>
      </c>
      <c r="D91" s="23" t="s">
        <v>25</v>
      </c>
      <c r="E91" s="24" t="s">
        <v>37</v>
      </c>
      <c r="F91" s="24" t="s">
        <v>79</v>
      </c>
      <c r="G91" s="25" t="s">
        <v>39</v>
      </c>
      <c r="H91" s="26" t="n">
        <v>22527.94</v>
      </c>
      <c r="I91" s="15" t="s">
        <v>22</v>
      </c>
      <c r="J91" s="24" t="s">
        <v>262</v>
      </c>
      <c r="K91" s="24"/>
    </row>
    <row r="92" customFormat="false" ht="15" hidden="false" customHeight="false" outlineLevel="0" collapsed="false">
      <c r="A92" s="2" t="s">
        <v>263</v>
      </c>
      <c r="B92" s="3" t="n">
        <v>45489</v>
      </c>
      <c r="C92" s="3" t="n">
        <v>45519</v>
      </c>
      <c r="D92" s="4" t="s">
        <v>12</v>
      </c>
      <c r="E92" s="5" t="s">
        <v>47</v>
      </c>
      <c r="F92" s="5" t="s">
        <v>134</v>
      </c>
      <c r="G92" s="6" t="s">
        <v>264</v>
      </c>
      <c r="H92" s="7" t="n">
        <v>12801.82</v>
      </c>
      <c r="I92" s="8" t="s">
        <v>16</v>
      </c>
      <c r="J92" s="5" t="s">
        <v>130</v>
      </c>
      <c r="K92" s="5"/>
    </row>
    <row r="93" customFormat="false" ht="15" hidden="false" customHeight="false" outlineLevel="0" collapsed="false">
      <c r="A93" s="9" t="s">
        <v>265</v>
      </c>
      <c r="B93" s="10" t="n">
        <v>45493</v>
      </c>
      <c r="C93" s="10" t="n">
        <v>45508</v>
      </c>
      <c r="D93" s="11" t="s">
        <v>12</v>
      </c>
      <c r="E93" s="12" t="s">
        <v>13</v>
      </c>
      <c r="F93" s="12" t="s">
        <v>109</v>
      </c>
      <c r="G93" s="13" t="s">
        <v>266</v>
      </c>
      <c r="H93" s="14" t="n">
        <v>7800.74</v>
      </c>
      <c r="I93" s="15" t="s">
        <v>22</v>
      </c>
      <c r="J93" s="12" t="s">
        <v>44</v>
      </c>
      <c r="K93" s="12" t="s">
        <v>18</v>
      </c>
    </row>
    <row r="94" customFormat="false" ht="15" hidden="false" customHeight="false" outlineLevel="0" collapsed="false">
      <c r="A94" s="16" t="s">
        <v>267</v>
      </c>
      <c r="B94" s="17" t="n">
        <v>45495</v>
      </c>
      <c r="C94" s="17" t="n">
        <v>45510</v>
      </c>
      <c r="D94" s="8" t="s">
        <v>25</v>
      </c>
      <c r="E94" s="18" t="s">
        <v>91</v>
      </c>
      <c r="F94" s="18" t="s">
        <v>253</v>
      </c>
      <c r="G94" s="19" t="s">
        <v>93</v>
      </c>
      <c r="H94" s="20" t="n">
        <v>35832.18</v>
      </c>
      <c r="I94" s="8" t="s">
        <v>16</v>
      </c>
      <c r="J94" s="18" t="s">
        <v>77</v>
      </c>
      <c r="K94" s="18" t="s">
        <v>45</v>
      </c>
    </row>
    <row r="95" customFormat="false" ht="15" hidden="false" customHeight="false" outlineLevel="0" collapsed="false">
      <c r="A95" s="9" t="s">
        <v>268</v>
      </c>
      <c r="B95" s="10" t="n">
        <v>45496</v>
      </c>
      <c r="C95" s="10" t="n">
        <v>45526</v>
      </c>
      <c r="D95" s="11" t="s">
        <v>12</v>
      </c>
      <c r="E95" s="12" t="s">
        <v>74</v>
      </c>
      <c r="F95" s="12" t="s">
        <v>109</v>
      </c>
      <c r="G95" s="13" t="s">
        <v>269</v>
      </c>
      <c r="H95" s="14" t="n">
        <v>12424.06</v>
      </c>
      <c r="I95" s="8" t="s">
        <v>16</v>
      </c>
      <c r="J95" s="12" t="s">
        <v>34</v>
      </c>
      <c r="K95" s="12" t="s">
        <v>58</v>
      </c>
    </row>
    <row r="96" customFormat="false" ht="15" hidden="false" customHeight="false" outlineLevel="0" collapsed="false">
      <c r="A96" s="2" t="s">
        <v>270</v>
      </c>
      <c r="B96" s="3" t="n">
        <v>45498</v>
      </c>
      <c r="C96" s="3" t="n">
        <v>45543</v>
      </c>
      <c r="D96" s="4" t="s">
        <v>12</v>
      </c>
      <c r="E96" s="5" t="s">
        <v>13</v>
      </c>
      <c r="F96" s="5" t="s">
        <v>20</v>
      </c>
      <c r="G96" s="6" t="s">
        <v>21</v>
      </c>
      <c r="H96" s="7" t="n">
        <v>3569.88</v>
      </c>
      <c r="I96" s="15" t="s">
        <v>22</v>
      </c>
      <c r="J96" s="5" t="s">
        <v>165</v>
      </c>
      <c r="K96" s="5" t="s">
        <v>53</v>
      </c>
    </row>
    <row r="97" customFormat="false" ht="15" hidden="false" customHeight="false" outlineLevel="0" collapsed="false">
      <c r="A97" s="21" t="s">
        <v>271</v>
      </c>
      <c r="B97" s="22" t="n">
        <v>45501</v>
      </c>
      <c r="C97" s="22" t="n">
        <v>45516</v>
      </c>
      <c r="D97" s="23" t="s">
        <v>25</v>
      </c>
      <c r="E97" s="24" t="s">
        <v>37</v>
      </c>
      <c r="F97" s="24" t="s">
        <v>272</v>
      </c>
      <c r="G97" s="25" t="s">
        <v>39</v>
      </c>
      <c r="H97" s="26" t="n">
        <v>71103.96</v>
      </c>
      <c r="I97" s="8" t="s">
        <v>16</v>
      </c>
      <c r="J97" s="24" t="s">
        <v>190</v>
      </c>
      <c r="K97" s="24" t="s">
        <v>41</v>
      </c>
    </row>
    <row r="98" customFormat="false" ht="15" hidden="false" customHeight="false" outlineLevel="0" collapsed="false">
      <c r="A98" s="2" t="s">
        <v>273</v>
      </c>
      <c r="B98" s="3" t="n">
        <v>45504</v>
      </c>
      <c r="C98" s="3" t="n">
        <v>45564</v>
      </c>
      <c r="D98" s="4" t="s">
        <v>12</v>
      </c>
      <c r="E98" s="5" t="s">
        <v>103</v>
      </c>
      <c r="F98" s="5" t="s">
        <v>127</v>
      </c>
      <c r="G98" s="6" t="s">
        <v>274</v>
      </c>
      <c r="H98" s="7" t="n">
        <v>8466.75</v>
      </c>
      <c r="I98" s="8" t="s">
        <v>16</v>
      </c>
      <c r="J98" s="5" t="s">
        <v>146</v>
      </c>
      <c r="K98" s="5" t="s">
        <v>58</v>
      </c>
    </row>
    <row r="99" customFormat="false" ht="15" hidden="false" customHeight="false" outlineLevel="0" collapsed="false">
      <c r="A99" s="21" t="s">
        <v>275</v>
      </c>
      <c r="B99" s="22" t="n">
        <v>45504</v>
      </c>
      <c r="C99" s="22" t="n">
        <v>45519</v>
      </c>
      <c r="D99" s="23" t="s">
        <v>25</v>
      </c>
      <c r="E99" s="24" t="s">
        <v>60</v>
      </c>
      <c r="F99" s="24" t="s">
        <v>227</v>
      </c>
      <c r="G99" s="25" t="s">
        <v>62</v>
      </c>
      <c r="H99" s="26" t="n">
        <v>25157.96</v>
      </c>
      <c r="I99" s="8" t="s">
        <v>16</v>
      </c>
      <c r="J99" s="24" t="s">
        <v>68</v>
      </c>
      <c r="K99" s="24" t="s">
        <v>53</v>
      </c>
    </row>
    <row r="100" customFormat="false" ht="15" hidden="false" customHeight="false" outlineLevel="0" collapsed="false">
      <c r="A100" s="2" t="s">
        <v>276</v>
      </c>
      <c r="B100" s="3" t="n">
        <v>45508</v>
      </c>
      <c r="C100" s="3" t="n">
        <v>45523</v>
      </c>
      <c r="D100" s="4" t="s">
        <v>12</v>
      </c>
      <c r="E100" s="5" t="s">
        <v>179</v>
      </c>
      <c r="F100" s="5" t="s">
        <v>198</v>
      </c>
      <c r="G100" s="6" t="s">
        <v>277</v>
      </c>
      <c r="H100" s="7" t="n">
        <v>10786.61</v>
      </c>
      <c r="I100" s="15" t="s">
        <v>22</v>
      </c>
      <c r="J100" s="5" t="s">
        <v>130</v>
      </c>
      <c r="K100" s="5" t="s">
        <v>89</v>
      </c>
    </row>
    <row r="101" customFormat="false" ht="15" hidden="false" customHeight="false" outlineLevel="0" collapsed="false">
      <c r="A101" s="21" t="s">
        <v>278</v>
      </c>
      <c r="B101" s="22" t="n">
        <v>45511</v>
      </c>
      <c r="C101" s="22" t="n">
        <v>45571</v>
      </c>
      <c r="D101" s="23" t="s">
        <v>25</v>
      </c>
      <c r="E101" s="24" t="s">
        <v>91</v>
      </c>
      <c r="F101" s="24" t="s">
        <v>38</v>
      </c>
      <c r="G101" s="25" t="s">
        <v>93</v>
      </c>
      <c r="H101" s="26" t="n">
        <v>10850.07</v>
      </c>
      <c r="I101" s="8" t="s">
        <v>16</v>
      </c>
      <c r="J101" s="24" t="s">
        <v>262</v>
      </c>
      <c r="K101" s="24" t="s">
        <v>53</v>
      </c>
    </row>
    <row r="102" customFormat="false" ht="15" hidden="false" customHeight="false" outlineLevel="0" collapsed="false">
      <c r="A102" s="2" t="s">
        <v>279</v>
      </c>
      <c r="B102" s="3" t="n">
        <v>45516</v>
      </c>
      <c r="C102" s="3" t="n">
        <v>45531</v>
      </c>
      <c r="D102" s="4" t="s">
        <v>12</v>
      </c>
      <c r="E102" s="5" t="s">
        <v>99</v>
      </c>
      <c r="F102" s="5" t="s">
        <v>134</v>
      </c>
      <c r="G102" s="6" t="s">
        <v>280</v>
      </c>
      <c r="H102" s="7" t="n">
        <v>16026.2</v>
      </c>
      <c r="I102" s="15" t="s">
        <v>22</v>
      </c>
      <c r="J102" s="5" t="s">
        <v>262</v>
      </c>
      <c r="K102" s="5" t="s">
        <v>89</v>
      </c>
    </row>
    <row r="103" customFormat="false" ht="15" hidden="false" customHeight="false" outlineLevel="0" collapsed="false">
      <c r="A103" s="21" t="s">
        <v>281</v>
      </c>
      <c r="B103" s="22" t="n">
        <v>45518</v>
      </c>
      <c r="C103" s="22" t="n">
        <v>45533</v>
      </c>
      <c r="D103" s="23" t="s">
        <v>25</v>
      </c>
      <c r="E103" s="24" t="s">
        <v>26</v>
      </c>
      <c r="F103" s="24" t="s">
        <v>282</v>
      </c>
      <c r="G103" s="25" t="s">
        <v>28</v>
      </c>
      <c r="H103" s="26" t="n">
        <v>42318.42</v>
      </c>
      <c r="I103" s="8" t="s">
        <v>16</v>
      </c>
      <c r="J103" s="24" t="s">
        <v>165</v>
      </c>
      <c r="K103" s="24" t="s">
        <v>35</v>
      </c>
    </row>
    <row r="104" customFormat="false" ht="15" hidden="false" customHeight="false" outlineLevel="0" collapsed="false">
      <c r="A104" s="16" t="s">
        <v>283</v>
      </c>
      <c r="B104" s="17" t="n">
        <v>45518</v>
      </c>
      <c r="C104" s="17" t="n">
        <v>45578</v>
      </c>
      <c r="D104" s="8" t="s">
        <v>25</v>
      </c>
      <c r="E104" s="18" t="s">
        <v>202</v>
      </c>
      <c r="F104" s="18" t="s">
        <v>52</v>
      </c>
      <c r="G104" s="19" t="s">
        <v>203</v>
      </c>
      <c r="H104" s="20" t="n">
        <v>34548.2</v>
      </c>
      <c r="I104" s="8" t="s">
        <v>16</v>
      </c>
      <c r="J104" s="18" t="s">
        <v>146</v>
      </c>
      <c r="K104" s="18"/>
    </row>
    <row r="105" customFormat="false" ht="15" hidden="false" customHeight="false" outlineLevel="0" collapsed="false">
      <c r="A105" s="21" t="s">
        <v>284</v>
      </c>
      <c r="B105" s="22" t="n">
        <v>45520</v>
      </c>
      <c r="C105" s="22" t="n">
        <v>45580</v>
      </c>
      <c r="D105" s="23" t="s">
        <v>25</v>
      </c>
      <c r="E105" s="24" t="s">
        <v>60</v>
      </c>
      <c r="F105" s="24" t="s">
        <v>96</v>
      </c>
      <c r="G105" s="25" t="s">
        <v>62</v>
      </c>
      <c r="H105" s="26" t="n">
        <v>42514.01</v>
      </c>
      <c r="I105" s="15" t="s">
        <v>22</v>
      </c>
      <c r="J105" s="24" t="s">
        <v>254</v>
      </c>
      <c r="K105" s="24" t="s">
        <v>35</v>
      </c>
    </row>
    <row r="106" customFormat="false" ht="15" hidden="false" customHeight="false" outlineLevel="0" collapsed="false">
      <c r="A106" s="2" t="s">
        <v>285</v>
      </c>
      <c r="B106" s="3" t="n">
        <v>45523</v>
      </c>
      <c r="C106" s="3" t="n">
        <v>45538</v>
      </c>
      <c r="D106" s="4" t="s">
        <v>12</v>
      </c>
      <c r="E106" s="5" t="s">
        <v>123</v>
      </c>
      <c r="F106" s="5" t="s">
        <v>20</v>
      </c>
      <c r="G106" s="6" t="s">
        <v>286</v>
      </c>
      <c r="H106" s="7" t="n">
        <v>1292.86</v>
      </c>
      <c r="I106" s="8" t="s">
        <v>16</v>
      </c>
      <c r="J106" s="5" t="s">
        <v>287</v>
      </c>
      <c r="K106" s="5"/>
    </row>
    <row r="107" customFormat="false" ht="15" hidden="false" customHeight="false" outlineLevel="0" collapsed="false">
      <c r="A107" s="9" t="s">
        <v>288</v>
      </c>
      <c r="B107" s="10" t="n">
        <v>45524</v>
      </c>
      <c r="C107" s="10" t="n">
        <v>45539</v>
      </c>
      <c r="D107" s="11" t="s">
        <v>12</v>
      </c>
      <c r="E107" s="12" t="s">
        <v>103</v>
      </c>
      <c r="F107" s="12" t="s">
        <v>154</v>
      </c>
      <c r="G107" s="13" t="s">
        <v>177</v>
      </c>
      <c r="H107" s="14" t="n">
        <v>5920.44</v>
      </c>
      <c r="I107" s="15" t="s">
        <v>22</v>
      </c>
      <c r="J107" s="12" t="s">
        <v>77</v>
      </c>
      <c r="K107" s="12"/>
    </row>
    <row r="108" customFormat="false" ht="15" hidden="false" customHeight="false" outlineLevel="0" collapsed="false">
      <c r="A108" s="16" t="s">
        <v>289</v>
      </c>
      <c r="B108" s="17" t="n">
        <v>45525</v>
      </c>
      <c r="C108" s="17" t="n">
        <v>45570</v>
      </c>
      <c r="D108" s="8" t="s">
        <v>25</v>
      </c>
      <c r="E108" s="18" t="s">
        <v>26</v>
      </c>
      <c r="F108" s="18" t="s">
        <v>43</v>
      </c>
      <c r="G108" s="19" t="s">
        <v>28</v>
      </c>
      <c r="H108" s="20" t="n">
        <v>64366.82</v>
      </c>
      <c r="I108" s="8" t="s">
        <v>16</v>
      </c>
      <c r="J108" s="18" t="s">
        <v>195</v>
      </c>
      <c r="K108" s="18" t="s">
        <v>58</v>
      </c>
    </row>
    <row r="109" customFormat="false" ht="15" hidden="false" customHeight="false" outlineLevel="0" collapsed="false">
      <c r="A109" s="21" t="s">
        <v>290</v>
      </c>
      <c r="B109" s="22" t="n">
        <v>45527</v>
      </c>
      <c r="C109" s="22" t="n">
        <v>45572</v>
      </c>
      <c r="D109" s="23" t="s">
        <v>25</v>
      </c>
      <c r="E109" s="24" t="s">
        <v>70</v>
      </c>
      <c r="F109" s="24" t="s">
        <v>227</v>
      </c>
      <c r="G109" s="25" t="s">
        <v>71</v>
      </c>
      <c r="H109" s="26" t="n">
        <v>63725.12</v>
      </c>
      <c r="I109" s="8" t="s">
        <v>16</v>
      </c>
      <c r="J109" s="24" t="s">
        <v>40</v>
      </c>
      <c r="K109" s="24" t="s">
        <v>58</v>
      </c>
    </row>
    <row r="110" customFormat="false" ht="15" hidden="false" customHeight="false" outlineLevel="0" collapsed="false">
      <c r="A110" s="2" t="s">
        <v>291</v>
      </c>
      <c r="B110" s="3" t="n">
        <v>45528</v>
      </c>
      <c r="C110" s="3" t="n">
        <v>45588</v>
      </c>
      <c r="D110" s="4" t="s">
        <v>12</v>
      </c>
      <c r="E110" s="5" t="s">
        <v>47</v>
      </c>
      <c r="F110" s="5" t="s">
        <v>65</v>
      </c>
      <c r="G110" s="6" t="s">
        <v>292</v>
      </c>
      <c r="H110" s="7" t="n">
        <v>11574</v>
      </c>
      <c r="I110" s="15" t="s">
        <v>22</v>
      </c>
      <c r="J110" s="5" t="s">
        <v>195</v>
      </c>
      <c r="K110" s="5" t="s">
        <v>45</v>
      </c>
    </row>
    <row r="111" customFormat="false" ht="15" hidden="false" customHeight="false" outlineLevel="0" collapsed="false">
      <c r="A111" s="21" t="s">
        <v>293</v>
      </c>
      <c r="B111" s="22" t="n">
        <v>45528</v>
      </c>
      <c r="C111" s="22" t="n">
        <v>45573</v>
      </c>
      <c r="D111" s="23" t="s">
        <v>25</v>
      </c>
      <c r="E111" s="24" t="s">
        <v>202</v>
      </c>
      <c r="F111" s="24" t="s">
        <v>282</v>
      </c>
      <c r="G111" s="25" t="s">
        <v>203</v>
      </c>
      <c r="H111" s="26" t="n">
        <v>50845.95</v>
      </c>
      <c r="I111" s="15" t="s">
        <v>22</v>
      </c>
      <c r="J111" s="24" t="s">
        <v>94</v>
      </c>
      <c r="K111" s="24" t="s">
        <v>89</v>
      </c>
    </row>
    <row r="112" customFormat="false" ht="15" hidden="false" customHeight="false" outlineLevel="0" collapsed="false">
      <c r="A112" s="2" t="s">
        <v>294</v>
      </c>
      <c r="B112" s="3" t="n">
        <v>45538</v>
      </c>
      <c r="C112" s="3" t="n">
        <v>45568</v>
      </c>
      <c r="D112" s="4" t="s">
        <v>12</v>
      </c>
      <c r="E112" s="5" t="s">
        <v>179</v>
      </c>
      <c r="F112" s="5" t="s">
        <v>14</v>
      </c>
      <c r="G112" s="6" t="s">
        <v>295</v>
      </c>
      <c r="H112" s="7" t="n">
        <v>1196.64</v>
      </c>
      <c r="I112" s="15" t="s">
        <v>22</v>
      </c>
      <c r="J112" s="5" t="s">
        <v>231</v>
      </c>
      <c r="K112" s="5" t="s">
        <v>58</v>
      </c>
    </row>
    <row r="113" customFormat="false" ht="15" hidden="false" customHeight="false" outlineLevel="0" collapsed="false">
      <c r="A113" s="9" t="s">
        <v>296</v>
      </c>
      <c r="B113" s="10" t="n">
        <v>45542</v>
      </c>
      <c r="C113" s="10" t="n">
        <v>45587</v>
      </c>
      <c r="D113" s="11" t="s">
        <v>12</v>
      </c>
      <c r="E113" s="12" t="s">
        <v>82</v>
      </c>
      <c r="F113" s="12" t="s">
        <v>75</v>
      </c>
      <c r="G113" s="13" t="s">
        <v>297</v>
      </c>
      <c r="H113" s="14" t="n">
        <v>11471.98</v>
      </c>
      <c r="I113" s="8" t="s">
        <v>16</v>
      </c>
      <c r="J113" s="12" t="s">
        <v>72</v>
      </c>
      <c r="K113" s="12" t="s">
        <v>18</v>
      </c>
    </row>
    <row r="114" customFormat="false" ht="15" hidden="false" customHeight="false" outlineLevel="0" collapsed="false">
      <c r="A114" s="16" t="s">
        <v>298</v>
      </c>
      <c r="B114" s="17" t="n">
        <v>45548</v>
      </c>
      <c r="C114" s="17" t="n">
        <v>45593</v>
      </c>
      <c r="D114" s="8" t="s">
        <v>25</v>
      </c>
      <c r="E114" s="18" t="s">
        <v>37</v>
      </c>
      <c r="F114" s="18" t="s">
        <v>282</v>
      </c>
      <c r="G114" s="19" t="s">
        <v>39</v>
      </c>
      <c r="H114" s="20" t="n">
        <v>68768.55</v>
      </c>
      <c r="I114" s="15" t="s">
        <v>22</v>
      </c>
      <c r="J114" s="18" t="s">
        <v>143</v>
      </c>
      <c r="K114" s="18" t="s">
        <v>89</v>
      </c>
    </row>
    <row r="115" customFormat="false" ht="15" hidden="false" customHeight="false" outlineLevel="0" collapsed="false">
      <c r="A115" s="21" t="s">
        <v>299</v>
      </c>
      <c r="B115" s="22" t="n">
        <v>45549</v>
      </c>
      <c r="C115" s="22" t="n">
        <v>45579</v>
      </c>
      <c r="D115" s="23" t="s">
        <v>25</v>
      </c>
      <c r="E115" s="24" t="s">
        <v>148</v>
      </c>
      <c r="F115" s="24" t="s">
        <v>142</v>
      </c>
      <c r="G115" s="25" t="s">
        <v>150</v>
      </c>
      <c r="H115" s="26" t="n">
        <v>24368.2</v>
      </c>
      <c r="I115" s="15" t="s">
        <v>22</v>
      </c>
      <c r="J115" s="24" t="s">
        <v>231</v>
      </c>
      <c r="K115" s="24" t="s">
        <v>18</v>
      </c>
    </row>
    <row r="116" customFormat="false" ht="15" hidden="false" customHeight="false" outlineLevel="0" collapsed="false">
      <c r="A116" s="2" t="s">
        <v>300</v>
      </c>
      <c r="B116" s="3" t="n">
        <v>45552</v>
      </c>
      <c r="C116" s="3" t="n">
        <v>45612</v>
      </c>
      <c r="D116" s="4" t="s">
        <v>12</v>
      </c>
      <c r="E116" s="5" t="s">
        <v>13</v>
      </c>
      <c r="F116" s="5" t="s">
        <v>185</v>
      </c>
      <c r="G116" s="6" t="s">
        <v>301</v>
      </c>
      <c r="H116" s="7" t="n">
        <v>991.03</v>
      </c>
      <c r="I116" s="8" t="s">
        <v>16</v>
      </c>
      <c r="J116" s="5" t="s">
        <v>136</v>
      </c>
      <c r="K116" s="5" t="s">
        <v>53</v>
      </c>
    </row>
    <row r="117" customFormat="false" ht="15" hidden="false" customHeight="false" outlineLevel="0" collapsed="false">
      <c r="A117" s="21" t="s">
        <v>302</v>
      </c>
      <c r="B117" s="22" t="n">
        <v>45560</v>
      </c>
      <c r="C117" s="22" t="n">
        <v>45590</v>
      </c>
      <c r="D117" s="23" t="s">
        <v>25</v>
      </c>
      <c r="E117" s="24" t="s">
        <v>60</v>
      </c>
      <c r="F117" s="24" t="s">
        <v>119</v>
      </c>
      <c r="G117" s="25" t="s">
        <v>62</v>
      </c>
      <c r="H117" s="26" t="n">
        <v>69050.42</v>
      </c>
      <c r="I117" s="15" t="s">
        <v>22</v>
      </c>
      <c r="J117" s="24" t="s">
        <v>40</v>
      </c>
      <c r="K117" s="24" t="s">
        <v>45</v>
      </c>
    </row>
    <row r="118" customFormat="false" ht="15" hidden="false" customHeight="false" outlineLevel="0" collapsed="false">
      <c r="A118" s="2" t="s">
        <v>303</v>
      </c>
      <c r="B118" s="3" t="n">
        <v>45564</v>
      </c>
      <c r="C118" s="3" t="n">
        <v>45624</v>
      </c>
      <c r="D118" s="4" t="s">
        <v>12</v>
      </c>
      <c r="E118" s="5" t="s">
        <v>103</v>
      </c>
      <c r="F118" s="5" t="s">
        <v>75</v>
      </c>
      <c r="G118" s="6" t="s">
        <v>304</v>
      </c>
      <c r="H118" s="7" t="n">
        <v>9181.4</v>
      </c>
      <c r="I118" s="8" t="s">
        <v>16</v>
      </c>
      <c r="J118" s="5" t="s">
        <v>231</v>
      </c>
      <c r="K118" s="5" t="s">
        <v>58</v>
      </c>
    </row>
    <row r="119" customFormat="false" ht="15" hidden="false" customHeight="false" outlineLevel="0" collapsed="false">
      <c r="A119" s="21" t="s">
        <v>305</v>
      </c>
      <c r="B119" s="22" t="n">
        <v>45565</v>
      </c>
      <c r="C119" s="22" t="n">
        <v>45595</v>
      </c>
      <c r="D119" s="23" t="s">
        <v>25</v>
      </c>
      <c r="E119" s="24" t="s">
        <v>31</v>
      </c>
      <c r="F119" s="24" t="s">
        <v>149</v>
      </c>
      <c r="G119" s="25" t="s">
        <v>33</v>
      </c>
      <c r="H119" s="26" t="n">
        <v>68038.14</v>
      </c>
      <c r="I119" s="8" t="s">
        <v>16</v>
      </c>
      <c r="J119" s="24" t="s">
        <v>68</v>
      </c>
      <c r="K119" s="24" t="s">
        <v>35</v>
      </c>
    </row>
    <row r="120" customFormat="false" ht="15" hidden="false" customHeight="false" outlineLevel="0" collapsed="false">
      <c r="A120" s="2" t="s">
        <v>306</v>
      </c>
      <c r="B120" s="3" t="n">
        <v>45567</v>
      </c>
      <c r="C120" s="3" t="n">
        <v>45597</v>
      </c>
      <c r="D120" s="4" t="s">
        <v>12</v>
      </c>
      <c r="E120" s="5" t="s">
        <v>55</v>
      </c>
      <c r="F120" s="5" t="s">
        <v>20</v>
      </c>
      <c r="G120" s="6" t="s">
        <v>169</v>
      </c>
      <c r="H120" s="7" t="n">
        <v>5021.9</v>
      </c>
      <c r="I120" s="15" t="s">
        <v>22</v>
      </c>
      <c r="J120" s="5" t="s">
        <v>231</v>
      </c>
      <c r="K120" s="5" t="s">
        <v>58</v>
      </c>
    </row>
    <row r="121" customFormat="false" ht="15" hidden="false" customHeight="false" outlineLevel="0" collapsed="false">
      <c r="A121" s="21" t="s">
        <v>307</v>
      </c>
      <c r="B121" s="22" t="n">
        <v>45571</v>
      </c>
      <c r="C121" s="22" t="n">
        <v>45601</v>
      </c>
      <c r="D121" s="23" t="s">
        <v>25</v>
      </c>
      <c r="E121" s="24" t="s">
        <v>70</v>
      </c>
      <c r="F121" s="24" t="s">
        <v>92</v>
      </c>
      <c r="G121" s="25" t="s">
        <v>71</v>
      </c>
      <c r="H121" s="26" t="n">
        <v>71029.58</v>
      </c>
      <c r="I121" s="15" t="s">
        <v>22</v>
      </c>
      <c r="J121" s="24" t="s">
        <v>63</v>
      </c>
      <c r="K121" s="24" t="s">
        <v>58</v>
      </c>
    </row>
    <row r="122" customFormat="false" ht="15" hidden="false" customHeight="false" outlineLevel="0" collapsed="false">
      <c r="A122" s="2" t="s">
        <v>308</v>
      </c>
      <c r="B122" s="3" t="n">
        <v>45575</v>
      </c>
      <c r="C122" s="3" t="n">
        <v>45605</v>
      </c>
      <c r="D122" s="4" t="s">
        <v>12</v>
      </c>
      <c r="E122" s="5" t="s">
        <v>123</v>
      </c>
      <c r="F122" s="5" t="s">
        <v>205</v>
      </c>
      <c r="G122" s="6" t="s">
        <v>309</v>
      </c>
      <c r="H122" s="7" t="n">
        <v>12018.99</v>
      </c>
      <c r="I122" s="15" t="s">
        <v>22</v>
      </c>
      <c r="J122" s="5" t="s">
        <v>213</v>
      </c>
      <c r="K122" s="5" t="s">
        <v>53</v>
      </c>
    </row>
    <row r="123" customFormat="false" ht="15" hidden="false" customHeight="false" outlineLevel="0" collapsed="false">
      <c r="A123" s="21" t="s">
        <v>310</v>
      </c>
      <c r="B123" s="22" t="n">
        <v>45576</v>
      </c>
      <c r="C123" s="22" t="n">
        <v>45591</v>
      </c>
      <c r="D123" s="23" t="s">
        <v>25</v>
      </c>
      <c r="E123" s="24" t="s">
        <v>60</v>
      </c>
      <c r="F123" s="24" t="s">
        <v>223</v>
      </c>
      <c r="G123" s="25" t="s">
        <v>62</v>
      </c>
      <c r="H123" s="26" t="n">
        <v>32283.63</v>
      </c>
      <c r="I123" s="15" t="s">
        <v>22</v>
      </c>
      <c r="J123" s="24" t="s">
        <v>34</v>
      </c>
      <c r="K123" s="24" t="s">
        <v>58</v>
      </c>
    </row>
    <row r="124" customFormat="false" ht="15" hidden="false" customHeight="false" outlineLevel="0" collapsed="false">
      <c r="A124" s="16" t="s">
        <v>311</v>
      </c>
      <c r="B124" s="17" t="n">
        <v>45581</v>
      </c>
      <c r="C124" s="17" t="n">
        <v>45596</v>
      </c>
      <c r="D124" s="8" t="s">
        <v>25</v>
      </c>
      <c r="E124" s="18" t="s">
        <v>202</v>
      </c>
      <c r="F124" s="18" t="s">
        <v>38</v>
      </c>
      <c r="G124" s="19" t="s">
        <v>203</v>
      </c>
      <c r="H124" s="20" t="n">
        <v>58741.22</v>
      </c>
      <c r="I124" s="8" t="s">
        <v>16</v>
      </c>
      <c r="J124" s="18" t="s">
        <v>84</v>
      </c>
      <c r="K124" s="18" t="s">
        <v>45</v>
      </c>
    </row>
    <row r="125" customFormat="false" ht="15" hidden="false" customHeight="false" outlineLevel="0" collapsed="false">
      <c r="A125" s="9" t="s">
        <v>312</v>
      </c>
      <c r="B125" s="10" t="n">
        <v>45583</v>
      </c>
      <c r="C125" s="10" t="n">
        <v>45628</v>
      </c>
      <c r="D125" s="11" t="s">
        <v>12</v>
      </c>
      <c r="E125" s="12" t="s">
        <v>179</v>
      </c>
      <c r="F125" s="12" t="s">
        <v>127</v>
      </c>
      <c r="G125" s="13" t="s">
        <v>313</v>
      </c>
      <c r="H125" s="14" t="n">
        <v>15031.99</v>
      </c>
      <c r="I125" s="8" t="s">
        <v>16</v>
      </c>
      <c r="J125" s="12" t="s">
        <v>63</v>
      </c>
      <c r="K125" s="12" t="s">
        <v>23</v>
      </c>
    </row>
    <row r="126" customFormat="false" ht="15" hidden="false" customHeight="false" outlineLevel="0" collapsed="false">
      <c r="A126" s="2" t="s">
        <v>314</v>
      </c>
      <c r="B126" s="3" t="n">
        <v>45590</v>
      </c>
      <c r="C126" s="3" t="n">
        <v>45620</v>
      </c>
      <c r="D126" s="4" t="s">
        <v>12</v>
      </c>
      <c r="E126" s="5" t="s">
        <v>179</v>
      </c>
      <c r="F126" s="5" t="s">
        <v>236</v>
      </c>
      <c r="G126" s="6" t="s">
        <v>315</v>
      </c>
      <c r="H126" s="7" t="n">
        <v>896.65</v>
      </c>
      <c r="I126" s="8" t="s">
        <v>16</v>
      </c>
      <c r="J126" s="5" t="s">
        <v>94</v>
      </c>
      <c r="K126" s="5" t="s">
        <v>18</v>
      </c>
    </row>
    <row r="127" customFormat="false" ht="15" hidden="false" customHeight="false" outlineLevel="0" collapsed="false">
      <c r="A127" s="21" t="s">
        <v>316</v>
      </c>
      <c r="B127" s="22" t="n">
        <v>45592</v>
      </c>
      <c r="C127" s="22" t="n">
        <v>45622</v>
      </c>
      <c r="D127" s="23" t="s">
        <v>25</v>
      </c>
      <c r="E127" s="24" t="s">
        <v>91</v>
      </c>
      <c r="F127" s="24" t="s">
        <v>223</v>
      </c>
      <c r="G127" s="25" t="s">
        <v>93</v>
      </c>
      <c r="H127" s="26" t="n">
        <v>62942.75</v>
      </c>
      <c r="I127" s="15" t="s">
        <v>22</v>
      </c>
      <c r="J127" s="24" t="s">
        <v>40</v>
      </c>
      <c r="K127" s="24" t="s">
        <v>89</v>
      </c>
    </row>
    <row r="128" customFormat="false" ht="15" hidden="false" customHeight="false" outlineLevel="0" collapsed="false">
      <c r="A128" s="2" t="s">
        <v>317</v>
      </c>
      <c r="B128" s="3" t="n">
        <v>45593</v>
      </c>
      <c r="C128" s="3" t="n">
        <v>45623</v>
      </c>
      <c r="D128" s="4" t="s">
        <v>12</v>
      </c>
      <c r="E128" s="5" t="s">
        <v>82</v>
      </c>
      <c r="F128" s="5" t="s">
        <v>75</v>
      </c>
      <c r="G128" s="6" t="s">
        <v>297</v>
      </c>
      <c r="H128" s="7" t="n">
        <v>12784.96</v>
      </c>
      <c r="I128" s="8" t="s">
        <v>16</v>
      </c>
      <c r="J128" s="5" t="s">
        <v>195</v>
      </c>
      <c r="K128" s="5" t="s">
        <v>41</v>
      </c>
    </row>
    <row r="129" customFormat="false" ht="15" hidden="false" customHeight="false" outlineLevel="0" collapsed="false">
      <c r="A129" s="9" t="s">
        <v>318</v>
      </c>
      <c r="B129" s="10" t="n">
        <v>45594</v>
      </c>
      <c r="C129" s="10" t="n">
        <v>45654</v>
      </c>
      <c r="D129" s="11" t="s">
        <v>12</v>
      </c>
      <c r="E129" s="12" t="s">
        <v>82</v>
      </c>
      <c r="F129" s="12" t="s">
        <v>160</v>
      </c>
      <c r="G129" s="13" t="s">
        <v>319</v>
      </c>
      <c r="H129" s="14" t="n">
        <v>1822.46</v>
      </c>
      <c r="I129" s="8" t="s">
        <v>16</v>
      </c>
      <c r="J129" s="12" t="s">
        <v>130</v>
      </c>
      <c r="K129" s="12" t="s">
        <v>18</v>
      </c>
    </row>
    <row r="130" customFormat="false" ht="15" hidden="false" customHeight="false" outlineLevel="0" collapsed="false">
      <c r="A130" s="16" t="s">
        <v>320</v>
      </c>
      <c r="B130" s="17" t="n">
        <v>45598</v>
      </c>
      <c r="C130" s="17" t="n">
        <v>45613</v>
      </c>
      <c r="D130" s="8" t="s">
        <v>25</v>
      </c>
      <c r="E130" s="18" t="s">
        <v>60</v>
      </c>
      <c r="F130" s="18" t="s">
        <v>79</v>
      </c>
      <c r="G130" s="19" t="s">
        <v>62</v>
      </c>
      <c r="H130" s="20" t="n">
        <v>26402.58</v>
      </c>
      <c r="I130" s="15" t="s">
        <v>22</v>
      </c>
      <c r="J130" s="18" t="s">
        <v>213</v>
      </c>
      <c r="K130" s="18" t="s">
        <v>58</v>
      </c>
    </row>
    <row r="131" customFormat="false" ht="15" hidden="false" customHeight="false" outlineLevel="0" collapsed="false">
      <c r="A131" s="21" t="s">
        <v>321</v>
      </c>
      <c r="B131" s="22" t="n">
        <v>45603</v>
      </c>
      <c r="C131" s="22" t="n">
        <v>45633</v>
      </c>
      <c r="D131" s="23" t="s">
        <v>25</v>
      </c>
      <c r="E131" s="24" t="s">
        <v>70</v>
      </c>
      <c r="F131" s="24" t="s">
        <v>239</v>
      </c>
      <c r="G131" s="25" t="s">
        <v>71</v>
      </c>
      <c r="H131" s="26" t="n">
        <v>22438.66</v>
      </c>
      <c r="I131" s="15" t="s">
        <v>22</v>
      </c>
      <c r="J131" s="24" t="s">
        <v>287</v>
      </c>
      <c r="K131" s="24"/>
    </row>
    <row r="132" customFormat="false" ht="15" hidden="false" customHeight="false" outlineLevel="0" collapsed="false">
      <c r="A132" s="2" t="s">
        <v>322</v>
      </c>
      <c r="B132" s="3" t="n">
        <v>45604</v>
      </c>
      <c r="C132" s="3" t="n">
        <v>45619</v>
      </c>
      <c r="D132" s="4" t="s">
        <v>12</v>
      </c>
      <c r="E132" s="5" t="s">
        <v>55</v>
      </c>
      <c r="F132" s="5" t="s">
        <v>205</v>
      </c>
      <c r="G132" s="6" t="s">
        <v>323</v>
      </c>
      <c r="H132" s="7" t="n">
        <v>15967.54</v>
      </c>
      <c r="I132" s="15" t="s">
        <v>22</v>
      </c>
      <c r="J132" s="5" t="s">
        <v>146</v>
      </c>
      <c r="K132" s="5" t="s">
        <v>58</v>
      </c>
    </row>
    <row r="133" customFormat="false" ht="15" hidden="false" customHeight="false" outlineLevel="0" collapsed="false">
      <c r="A133" s="21" t="s">
        <v>324</v>
      </c>
      <c r="B133" s="22" t="n">
        <v>45608</v>
      </c>
      <c r="C133" s="22" t="n">
        <v>45623</v>
      </c>
      <c r="D133" s="23" t="s">
        <v>25</v>
      </c>
      <c r="E133" s="24" t="s">
        <v>26</v>
      </c>
      <c r="F133" s="24" t="s">
        <v>38</v>
      </c>
      <c r="G133" s="25" t="s">
        <v>28</v>
      </c>
      <c r="H133" s="26" t="n">
        <v>74813.38</v>
      </c>
      <c r="I133" s="15" t="s">
        <v>22</v>
      </c>
      <c r="J133" s="24" t="s">
        <v>50</v>
      </c>
      <c r="K133" s="24" t="s">
        <v>58</v>
      </c>
    </row>
    <row r="134" customFormat="false" ht="15" hidden="false" customHeight="false" outlineLevel="0" collapsed="false">
      <c r="A134" s="2" t="s">
        <v>325</v>
      </c>
      <c r="B134" s="3" t="n">
        <v>45612</v>
      </c>
      <c r="C134" s="3" t="n">
        <v>45642</v>
      </c>
      <c r="D134" s="4" t="s">
        <v>12</v>
      </c>
      <c r="E134" s="5" t="s">
        <v>47</v>
      </c>
      <c r="F134" s="5" t="s">
        <v>182</v>
      </c>
      <c r="G134" s="6" t="s">
        <v>326</v>
      </c>
      <c r="H134" s="7" t="n">
        <v>1533.08</v>
      </c>
      <c r="I134" s="8" t="s">
        <v>16</v>
      </c>
      <c r="J134" s="5" t="s">
        <v>195</v>
      </c>
      <c r="K134" s="5" t="s">
        <v>89</v>
      </c>
    </row>
    <row r="135" customFormat="false" ht="15" hidden="false" customHeight="false" outlineLevel="0" collapsed="false">
      <c r="A135" s="21" t="s">
        <v>327</v>
      </c>
      <c r="B135" s="22" t="n">
        <v>45617</v>
      </c>
      <c r="C135" s="22" t="n">
        <v>45647</v>
      </c>
      <c r="D135" s="23" t="s">
        <v>25</v>
      </c>
      <c r="E135" s="24" t="s">
        <v>31</v>
      </c>
      <c r="F135" s="24" t="s">
        <v>239</v>
      </c>
      <c r="G135" s="25" t="s">
        <v>33</v>
      </c>
      <c r="H135" s="26" t="n">
        <v>48047.99</v>
      </c>
      <c r="I135" s="15" t="s">
        <v>22</v>
      </c>
      <c r="J135" s="24" t="s">
        <v>328</v>
      </c>
      <c r="K135" s="24" t="s">
        <v>18</v>
      </c>
    </row>
    <row r="136" customFormat="false" ht="15" hidden="false" customHeight="false" outlineLevel="0" collapsed="false">
      <c r="A136" s="16" t="s">
        <v>329</v>
      </c>
      <c r="B136" s="17" t="n">
        <v>45621</v>
      </c>
      <c r="C136" s="17" t="n">
        <v>45666</v>
      </c>
      <c r="D136" s="8" t="s">
        <v>25</v>
      </c>
      <c r="E136" s="18" t="s">
        <v>37</v>
      </c>
      <c r="F136" s="18" t="s">
        <v>142</v>
      </c>
      <c r="G136" s="19" t="s">
        <v>39</v>
      </c>
      <c r="H136" s="20" t="n">
        <v>9275.34</v>
      </c>
      <c r="I136" s="15" t="s">
        <v>22</v>
      </c>
      <c r="J136" s="18" t="s">
        <v>40</v>
      </c>
      <c r="K136" s="18"/>
    </row>
    <row r="137" customFormat="false" ht="15" hidden="false" customHeight="false" outlineLevel="0" collapsed="false">
      <c r="A137" s="9" t="s">
        <v>330</v>
      </c>
      <c r="B137" s="10" t="n">
        <v>45622</v>
      </c>
      <c r="C137" s="10" t="n">
        <v>45682</v>
      </c>
      <c r="D137" s="11" t="s">
        <v>12</v>
      </c>
      <c r="E137" s="12" t="s">
        <v>55</v>
      </c>
      <c r="F137" s="12" t="s">
        <v>86</v>
      </c>
      <c r="G137" s="13" t="s">
        <v>331</v>
      </c>
      <c r="H137" s="14" t="n">
        <v>457.79</v>
      </c>
      <c r="I137" s="8" t="s">
        <v>16</v>
      </c>
      <c r="J137" s="12" t="s">
        <v>195</v>
      </c>
      <c r="K137" s="12" t="s">
        <v>58</v>
      </c>
    </row>
    <row r="138" customFormat="false" ht="15" hidden="false" customHeight="false" outlineLevel="0" collapsed="false">
      <c r="A138" s="16" t="s">
        <v>332</v>
      </c>
      <c r="B138" s="17" t="n">
        <v>45625</v>
      </c>
      <c r="C138" s="17" t="n">
        <v>45655</v>
      </c>
      <c r="D138" s="8" t="s">
        <v>25</v>
      </c>
      <c r="E138" s="18" t="s">
        <v>91</v>
      </c>
      <c r="F138" s="18" t="s">
        <v>92</v>
      </c>
      <c r="G138" s="19" t="s">
        <v>93</v>
      </c>
      <c r="H138" s="20" t="n">
        <v>66886.6</v>
      </c>
      <c r="I138" s="15" t="s">
        <v>22</v>
      </c>
      <c r="J138" s="18" t="s">
        <v>262</v>
      </c>
      <c r="K138" s="18" t="s">
        <v>35</v>
      </c>
    </row>
    <row r="139" customFormat="false" ht="15" hidden="false" customHeight="false" outlineLevel="0" collapsed="false">
      <c r="A139" s="9" t="s">
        <v>333</v>
      </c>
      <c r="B139" s="10" t="n">
        <v>45627</v>
      </c>
      <c r="C139" s="10" t="n">
        <v>45687</v>
      </c>
      <c r="D139" s="11" t="s">
        <v>12</v>
      </c>
      <c r="E139" s="12" t="s">
        <v>179</v>
      </c>
      <c r="F139" s="12" t="s">
        <v>14</v>
      </c>
      <c r="G139" s="13" t="s">
        <v>295</v>
      </c>
      <c r="H139" s="14" t="n">
        <v>16474.67</v>
      </c>
      <c r="I139" s="15" t="s">
        <v>22</v>
      </c>
      <c r="J139" s="12" t="s">
        <v>136</v>
      </c>
      <c r="K139" s="12" t="s">
        <v>89</v>
      </c>
    </row>
    <row r="140" customFormat="false" ht="15" hidden="false" customHeight="false" outlineLevel="0" collapsed="false">
      <c r="A140" s="16" t="s">
        <v>334</v>
      </c>
      <c r="B140" s="17" t="n">
        <v>45627</v>
      </c>
      <c r="C140" s="17" t="n">
        <v>45687</v>
      </c>
      <c r="D140" s="8" t="s">
        <v>25</v>
      </c>
      <c r="E140" s="18" t="s">
        <v>37</v>
      </c>
      <c r="F140" s="18" t="s">
        <v>52</v>
      </c>
      <c r="G140" s="19" t="s">
        <v>39</v>
      </c>
      <c r="H140" s="20" t="n">
        <v>53890.47</v>
      </c>
      <c r="I140" s="8" t="s">
        <v>16</v>
      </c>
      <c r="J140" s="18" t="s">
        <v>63</v>
      </c>
      <c r="K140" s="18"/>
    </row>
    <row r="141" customFormat="false" ht="15" hidden="false" customHeight="false" outlineLevel="0" collapsed="false">
      <c r="A141" s="21" t="s">
        <v>335</v>
      </c>
      <c r="B141" s="22" t="n">
        <v>45628</v>
      </c>
      <c r="C141" s="22" t="n">
        <v>45688</v>
      </c>
      <c r="D141" s="23" t="s">
        <v>25</v>
      </c>
      <c r="E141" s="24" t="s">
        <v>91</v>
      </c>
      <c r="F141" s="24" t="s">
        <v>272</v>
      </c>
      <c r="G141" s="25" t="s">
        <v>93</v>
      </c>
      <c r="H141" s="26" t="n">
        <v>16099.73</v>
      </c>
      <c r="I141" s="8" t="s">
        <v>16</v>
      </c>
      <c r="J141" s="24" t="s">
        <v>84</v>
      </c>
      <c r="K141" s="24" t="s">
        <v>35</v>
      </c>
    </row>
    <row r="142" customFormat="false" ht="15" hidden="false" customHeight="false" outlineLevel="0" collapsed="false">
      <c r="A142" s="2" t="s">
        <v>336</v>
      </c>
      <c r="B142" s="3" t="n">
        <v>45629</v>
      </c>
      <c r="C142" s="3" t="n">
        <v>45689</v>
      </c>
      <c r="D142" s="4" t="s">
        <v>12</v>
      </c>
      <c r="E142" s="5" t="s">
        <v>103</v>
      </c>
      <c r="F142" s="5" t="s">
        <v>205</v>
      </c>
      <c r="G142" s="6" t="s">
        <v>337</v>
      </c>
      <c r="H142" s="7" t="n">
        <v>7488.18</v>
      </c>
      <c r="I142" s="15" t="s">
        <v>22</v>
      </c>
      <c r="J142" s="5" t="s">
        <v>72</v>
      </c>
      <c r="K142" s="5" t="s">
        <v>41</v>
      </c>
    </row>
    <row r="143" customFormat="false" ht="15" hidden="false" customHeight="false" outlineLevel="0" collapsed="false">
      <c r="A143" s="9" t="s">
        <v>338</v>
      </c>
      <c r="B143" s="10" t="n">
        <v>45629</v>
      </c>
      <c r="C143" s="10" t="n">
        <v>45644</v>
      </c>
      <c r="D143" s="11" t="s">
        <v>12</v>
      </c>
      <c r="E143" s="12" t="s">
        <v>47</v>
      </c>
      <c r="F143" s="12" t="s">
        <v>56</v>
      </c>
      <c r="G143" s="13" t="s">
        <v>339</v>
      </c>
      <c r="H143" s="14" t="n">
        <v>11999.79</v>
      </c>
      <c r="I143" s="15" t="s">
        <v>22</v>
      </c>
      <c r="J143" s="12" t="s">
        <v>262</v>
      </c>
      <c r="K143" s="12" t="s">
        <v>41</v>
      </c>
    </row>
    <row r="144" customFormat="false" ht="15" hidden="false" customHeight="false" outlineLevel="0" collapsed="false">
      <c r="A144" s="16" t="s">
        <v>340</v>
      </c>
      <c r="B144" s="17" t="n">
        <v>45631</v>
      </c>
      <c r="C144" s="17" t="n">
        <v>45661</v>
      </c>
      <c r="D144" s="8" t="s">
        <v>25</v>
      </c>
      <c r="E144" s="18" t="s">
        <v>148</v>
      </c>
      <c r="F144" s="18" t="s">
        <v>272</v>
      </c>
      <c r="G144" s="19" t="s">
        <v>150</v>
      </c>
      <c r="H144" s="20" t="n">
        <v>59542.61</v>
      </c>
      <c r="I144" s="8" t="s">
        <v>16</v>
      </c>
      <c r="J144" s="18" t="s">
        <v>136</v>
      </c>
      <c r="K144" s="18" t="s">
        <v>23</v>
      </c>
    </row>
    <row r="145" customFormat="false" ht="15" hidden="false" customHeight="false" outlineLevel="0" collapsed="false">
      <c r="A145" s="9" t="s">
        <v>341</v>
      </c>
      <c r="B145" s="10" t="n">
        <v>45633</v>
      </c>
      <c r="C145" s="10" t="n">
        <v>45678</v>
      </c>
      <c r="D145" s="11" t="s">
        <v>12</v>
      </c>
      <c r="E145" s="12" t="s">
        <v>13</v>
      </c>
      <c r="F145" s="12" t="s">
        <v>14</v>
      </c>
      <c r="G145" s="13" t="s">
        <v>15</v>
      </c>
      <c r="H145" s="14" t="n">
        <v>2547.1</v>
      </c>
      <c r="I145" s="8" t="s">
        <v>16</v>
      </c>
      <c r="J145" s="12" t="s">
        <v>94</v>
      </c>
      <c r="K145" s="12" t="s">
        <v>41</v>
      </c>
    </row>
    <row r="146" customFormat="false" ht="15" hidden="false" customHeight="false" outlineLevel="0" collapsed="false">
      <c r="A146" s="2" t="s">
        <v>342</v>
      </c>
      <c r="B146" s="3" t="n">
        <v>45633</v>
      </c>
      <c r="C146" s="3" t="n">
        <v>45678</v>
      </c>
      <c r="D146" s="4" t="s">
        <v>12</v>
      </c>
      <c r="E146" s="5" t="s">
        <v>55</v>
      </c>
      <c r="F146" s="5" t="s">
        <v>104</v>
      </c>
      <c r="G146" s="6" t="s">
        <v>343</v>
      </c>
      <c r="H146" s="7" t="n">
        <v>14697.87</v>
      </c>
      <c r="I146" s="15" t="s">
        <v>22</v>
      </c>
      <c r="J146" s="5" t="s">
        <v>40</v>
      </c>
      <c r="K146" s="5"/>
    </row>
    <row r="147" customFormat="false" ht="15" hidden="false" customHeight="false" outlineLevel="0" collapsed="false">
      <c r="A147" s="9" t="s">
        <v>344</v>
      </c>
      <c r="B147" s="10" t="n">
        <v>45634</v>
      </c>
      <c r="C147" s="10" t="n">
        <v>45694</v>
      </c>
      <c r="D147" s="11" t="s">
        <v>12</v>
      </c>
      <c r="E147" s="12" t="s">
        <v>74</v>
      </c>
      <c r="F147" s="12" t="s">
        <v>208</v>
      </c>
      <c r="G147" s="13" t="s">
        <v>345</v>
      </c>
      <c r="H147" s="14" t="n">
        <v>8492.91</v>
      </c>
      <c r="I147" s="8" t="s">
        <v>16</v>
      </c>
      <c r="J147" s="12" t="s">
        <v>84</v>
      </c>
      <c r="K147" s="12"/>
    </row>
    <row r="148" customFormat="false" ht="15" hidden="false" customHeight="false" outlineLevel="0" collapsed="false">
      <c r="A148" s="2" t="s">
        <v>346</v>
      </c>
      <c r="B148" s="3" t="n">
        <v>45635</v>
      </c>
      <c r="C148" s="3" t="n">
        <v>45680</v>
      </c>
      <c r="D148" s="4" t="s">
        <v>12</v>
      </c>
      <c r="E148" s="5" t="s">
        <v>13</v>
      </c>
      <c r="F148" s="5" t="s">
        <v>104</v>
      </c>
      <c r="G148" s="6" t="s">
        <v>347</v>
      </c>
      <c r="H148" s="7" t="n">
        <v>11484.36</v>
      </c>
      <c r="I148" s="15" t="s">
        <v>22</v>
      </c>
      <c r="J148" s="5" t="s">
        <v>80</v>
      </c>
      <c r="K148" s="5" t="s">
        <v>23</v>
      </c>
    </row>
    <row r="149" customFormat="false" ht="15" hidden="false" customHeight="false" outlineLevel="0" collapsed="false">
      <c r="A149" s="9" t="s">
        <v>348</v>
      </c>
      <c r="B149" s="10" t="n">
        <v>45636</v>
      </c>
      <c r="C149" s="10" t="n">
        <v>45681</v>
      </c>
      <c r="D149" s="11" t="s">
        <v>12</v>
      </c>
      <c r="E149" s="12" t="s">
        <v>123</v>
      </c>
      <c r="F149" s="12" t="s">
        <v>86</v>
      </c>
      <c r="G149" s="13" t="s">
        <v>145</v>
      </c>
      <c r="H149" s="14" t="n">
        <v>3704.47</v>
      </c>
      <c r="I149" s="8" t="s">
        <v>16</v>
      </c>
      <c r="J149" s="12" t="s">
        <v>72</v>
      </c>
      <c r="K149" s="12" t="s">
        <v>23</v>
      </c>
    </row>
    <row r="150" customFormat="false" ht="15" hidden="false" customHeight="false" outlineLevel="0" collapsed="false">
      <c r="A150" s="2" t="s">
        <v>349</v>
      </c>
      <c r="B150" s="3" t="n">
        <v>45638</v>
      </c>
      <c r="C150" s="3" t="n">
        <v>45698</v>
      </c>
      <c r="D150" s="4" t="s">
        <v>12</v>
      </c>
      <c r="E150" s="5" t="s">
        <v>179</v>
      </c>
      <c r="F150" s="5" t="s">
        <v>48</v>
      </c>
      <c r="G150" s="6" t="s">
        <v>350</v>
      </c>
      <c r="H150" s="7" t="n">
        <v>3690.19</v>
      </c>
      <c r="I150" s="15" t="s">
        <v>22</v>
      </c>
      <c r="J150" s="5" t="s">
        <v>111</v>
      </c>
      <c r="K150" s="5" t="s">
        <v>23</v>
      </c>
    </row>
    <row r="151" customFormat="false" ht="15" hidden="false" customHeight="false" outlineLevel="0" collapsed="false">
      <c r="A151" s="9" t="s">
        <v>351</v>
      </c>
      <c r="B151" s="10" t="n">
        <v>45639</v>
      </c>
      <c r="C151" s="10" t="n">
        <v>45684</v>
      </c>
      <c r="D151" s="11" t="s">
        <v>12</v>
      </c>
      <c r="E151" s="12" t="s">
        <v>82</v>
      </c>
      <c r="F151" s="12" t="s">
        <v>241</v>
      </c>
      <c r="G151" s="13" t="s">
        <v>242</v>
      </c>
      <c r="H151" s="14" t="n">
        <v>15805.14</v>
      </c>
      <c r="I151" s="8" t="s">
        <v>16</v>
      </c>
      <c r="J151" s="12" t="s">
        <v>44</v>
      </c>
      <c r="K151" s="12" t="s">
        <v>89</v>
      </c>
    </row>
    <row r="152" customFormat="false" ht="15" hidden="false" customHeight="false" outlineLevel="0" collapsed="false">
      <c r="A152" s="16" t="s">
        <v>352</v>
      </c>
      <c r="B152" s="17" t="n">
        <v>45643</v>
      </c>
      <c r="C152" s="17" t="n">
        <v>45688</v>
      </c>
      <c r="D152" s="8" t="s">
        <v>25</v>
      </c>
      <c r="E152" s="18" t="s">
        <v>60</v>
      </c>
      <c r="F152" s="18" t="s">
        <v>272</v>
      </c>
      <c r="G152" s="19" t="s">
        <v>62</v>
      </c>
      <c r="H152" s="20" t="n">
        <v>31365.12</v>
      </c>
      <c r="I152" s="8" t="s">
        <v>16</v>
      </c>
      <c r="J152" s="18" t="s">
        <v>117</v>
      </c>
      <c r="K152" s="18" t="s">
        <v>35</v>
      </c>
    </row>
    <row r="153" customFormat="false" ht="15" hidden="false" customHeight="false" outlineLevel="0" collapsed="false">
      <c r="A153" s="21" t="s">
        <v>353</v>
      </c>
      <c r="B153" s="22" t="n">
        <v>45645</v>
      </c>
      <c r="C153" s="22" t="n">
        <v>45690</v>
      </c>
      <c r="D153" s="23" t="s">
        <v>25</v>
      </c>
      <c r="E153" s="24" t="s">
        <v>26</v>
      </c>
      <c r="F153" s="24" t="s">
        <v>92</v>
      </c>
      <c r="G153" s="25" t="s">
        <v>28</v>
      </c>
      <c r="H153" s="26" t="n">
        <v>34740.45</v>
      </c>
      <c r="I153" s="8" t="s">
        <v>16</v>
      </c>
      <c r="J153" s="24" t="s">
        <v>77</v>
      </c>
      <c r="K153" s="24" t="s">
        <v>45</v>
      </c>
    </row>
    <row r="154" customFormat="false" ht="15" hidden="false" customHeight="false" outlineLevel="0" collapsed="false">
      <c r="A154" s="2" t="s">
        <v>354</v>
      </c>
      <c r="B154" s="3" t="n">
        <v>45648</v>
      </c>
      <c r="C154" s="3" t="n">
        <v>45693</v>
      </c>
      <c r="D154" s="4" t="s">
        <v>12</v>
      </c>
      <c r="E154" s="5" t="s">
        <v>99</v>
      </c>
      <c r="F154" s="5" t="s">
        <v>86</v>
      </c>
      <c r="G154" s="6" t="s">
        <v>167</v>
      </c>
      <c r="H154" s="7" t="n">
        <v>2310.83</v>
      </c>
      <c r="I154" s="15" t="s">
        <v>22</v>
      </c>
      <c r="J154" s="5" t="s">
        <v>143</v>
      </c>
      <c r="K154" s="5" t="s">
        <v>18</v>
      </c>
    </row>
    <row r="155" customFormat="false" ht="15" hidden="false" customHeight="false" outlineLevel="0" collapsed="false">
      <c r="A155" s="21" t="s">
        <v>355</v>
      </c>
      <c r="B155" s="22" t="n">
        <v>45653</v>
      </c>
      <c r="C155" s="22" t="n">
        <v>45698</v>
      </c>
      <c r="D155" s="23" t="s">
        <v>25</v>
      </c>
      <c r="E155" s="24" t="s">
        <v>91</v>
      </c>
      <c r="F155" s="24" t="s">
        <v>149</v>
      </c>
      <c r="G155" s="25" t="s">
        <v>93</v>
      </c>
      <c r="H155" s="26" t="n">
        <v>73567.74</v>
      </c>
      <c r="I155" s="8" t="s">
        <v>16</v>
      </c>
      <c r="J155" s="24" t="s">
        <v>165</v>
      </c>
      <c r="K155" s="24"/>
    </row>
    <row r="156" customFormat="false" ht="15" hidden="false" customHeight="false" outlineLevel="0" collapsed="false">
      <c r="A156" s="16" t="s">
        <v>356</v>
      </c>
      <c r="B156" s="17" t="n">
        <v>45653</v>
      </c>
      <c r="C156" s="17" t="n">
        <v>45713</v>
      </c>
      <c r="D156" s="8" t="s">
        <v>25</v>
      </c>
      <c r="E156" s="18" t="s">
        <v>91</v>
      </c>
      <c r="F156" s="18" t="s">
        <v>239</v>
      </c>
      <c r="G156" s="19" t="s">
        <v>93</v>
      </c>
      <c r="H156" s="20" t="n">
        <v>38411.33</v>
      </c>
      <c r="I156" s="8" t="s">
        <v>16</v>
      </c>
      <c r="J156" s="18" t="s">
        <v>136</v>
      </c>
      <c r="K156" s="18"/>
    </row>
    <row r="157" customFormat="false" ht="15" hidden="false" customHeight="false" outlineLevel="0" collapsed="false">
      <c r="A157" s="9" t="s">
        <v>357</v>
      </c>
      <c r="B157" s="10" t="n">
        <v>45659</v>
      </c>
      <c r="C157" s="10" t="n">
        <v>45719</v>
      </c>
      <c r="D157" s="11" t="s">
        <v>12</v>
      </c>
      <c r="E157" s="12" t="s">
        <v>74</v>
      </c>
      <c r="F157" s="12" t="s">
        <v>124</v>
      </c>
      <c r="G157" s="13" t="s">
        <v>247</v>
      </c>
      <c r="H157" s="14" t="n">
        <v>5446.23</v>
      </c>
      <c r="I157" s="8" t="s">
        <v>16</v>
      </c>
      <c r="J157" s="12" t="s">
        <v>287</v>
      </c>
      <c r="K157" s="12"/>
    </row>
    <row r="158" customFormat="false" ht="15" hidden="false" customHeight="false" outlineLevel="0" collapsed="false">
      <c r="A158" s="16" t="s">
        <v>358</v>
      </c>
      <c r="B158" s="17" t="n">
        <v>45661</v>
      </c>
      <c r="C158" s="17" t="n">
        <v>45706</v>
      </c>
      <c r="D158" s="8" t="s">
        <v>25</v>
      </c>
      <c r="E158" s="18" t="s">
        <v>70</v>
      </c>
      <c r="F158" s="18" t="s">
        <v>272</v>
      </c>
      <c r="G158" s="19" t="s">
        <v>71</v>
      </c>
      <c r="H158" s="20" t="n">
        <v>13779.54</v>
      </c>
      <c r="I158" s="15" t="s">
        <v>22</v>
      </c>
      <c r="J158" s="18" t="s">
        <v>72</v>
      </c>
      <c r="K158" s="18" t="s">
        <v>41</v>
      </c>
    </row>
    <row r="159" customFormat="false" ht="15" hidden="false" customHeight="false" outlineLevel="0" collapsed="false">
      <c r="A159" s="9" t="s">
        <v>359</v>
      </c>
      <c r="B159" s="10" t="n">
        <v>45670</v>
      </c>
      <c r="C159" s="10" t="n">
        <v>45685</v>
      </c>
      <c r="D159" s="11" t="s">
        <v>12</v>
      </c>
      <c r="E159" s="12" t="s">
        <v>123</v>
      </c>
      <c r="F159" s="12" t="s">
        <v>109</v>
      </c>
      <c r="G159" s="13" t="s">
        <v>360</v>
      </c>
      <c r="H159" s="14" t="n">
        <v>3916.8</v>
      </c>
      <c r="I159" s="15" t="s">
        <v>22</v>
      </c>
      <c r="J159" s="12" t="s">
        <v>50</v>
      </c>
      <c r="K159" s="12" t="s">
        <v>53</v>
      </c>
    </row>
    <row r="160" customFormat="false" ht="15" hidden="false" customHeight="false" outlineLevel="0" collapsed="false">
      <c r="A160" s="16" t="s">
        <v>361</v>
      </c>
      <c r="B160" s="17" t="n">
        <v>45671</v>
      </c>
      <c r="C160" s="17" t="n">
        <v>45731</v>
      </c>
      <c r="D160" s="8" t="s">
        <v>25</v>
      </c>
      <c r="E160" s="18" t="s">
        <v>70</v>
      </c>
      <c r="F160" s="18" t="s">
        <v>79</v>
      </c>
      <c r="G160" s="19" t="s">
        <v>71</v>
      </c>
      <c r="H160" s="20" t="n">
        <v>37027.83</v>
      </c>
      <c r="I160" s="8" t="s">
        <v>16</v>
      </c>
      <c r="J160" s="18" t="s">
        <v>130</v>
      </c>
      <c r="K160" s="18" t="s">
        <v>41</v>
      </c>
    </row>
    <row r="161" customFormat="false" ht="15" hidden="false" customHeight="false" outlineLevel="0" collapsed="false">
      <c r="A161" s="9" t="s">
        <v>362</v>
      </c>
      <c r="B161" s="10" t="n">
        <v>45674</v>
      </c>
      <c r="C161" s="10" t="n">
        <v>45719</v>
      </c>
      <c r="D161" s="11" t="s">
        <v>12</v>
      </c>
      <c r="E161" s="12" t="s">
        <v>82</v>
      </c>
      <c r="F161" s="12" t="s">
        <v>134</v>
      </c>
      <c r="G161" s="13" t="s">
        <v>135</v>
      </c>
      <c r="H161" s="14" t="n">
        <v>10577.57</v>
      </c>
      <c r="I161" s="15" t="s">
        <v>22</v>
      </c>
      <c r="J161" s="12" t="s">
        <v>151</v>
      </c>
      <c r="K161" s="12"/>
    </row>
    <row r="162" customFormat="false" ht="15" hidden="false" customHeight="false" outlineLevel="0" collapsed="false">
      <c r="A162" s="16" t="s">
        <v>363</v>
      </c>
      <c r="B162" s="17" t="n">
        <v>45674</v>
      </c>
      <c r="C162" s="17" t="n">
        <v>45734</v>
      </c>
      <c r="D162" s="8" t="s">
        <v>25</v>
      </c>
      <c r="E162" s="18" t="s">
        <v>37</v>
      </c>
      <c r="F162" s="18" t="s">
        <v>107</v>
      </c>
      <c r="G162" s="19" t="s">
        <v>39</v>
      </c>
      <c r="H162" s="20" t="n">
        <v>12081.59</v>
      </c>
      <c r="I162" s="15" t="s">
        <v>22</v>
      </c>
      <c r="J162" s="18" t="s">
        <v>94</v>
      </c>
      <c r="K162" s="18" t="s">
        <v>45</v>
      </c>
    </row>
    <row r="163" customFormat="false" ht="15" hidden="false" customHeight="false" outlineLevel="0" collapsed="false">
      <c r="A163" s="21" t="s">
        <v>364</v>
      </c>
      <c r="B163" s="22" t="n">
        <v>45675</v>
      </c>
      <c r="C163" s="22" t="n">
        <v>45720</v>
      </c>
      <c r="D163" s="23" t="s">
        <v>25</v>
      </c>
      <c r="E163" s="24" t="s">
        <v>91</v>
      </c>
      <c r="F163" s="24" t="s">
        <v>119</v>
      </c>
      <c r="G163" s="25" t="s">
        <v>93</v>
      </c>
      <c r="H163" s="26" t="n">
        <v>10355.09</v>
      </c>
      <c r="I163" s="8" t="s">
        <v>16</v>
      </c>
      <c r="J163" s="24" t="s">
        <v>190</v>
      </c>
      <c r="K163" s="24" t="s">
        <v>18</v>
      </c>
    </row>
    <row r="164" customFormat="false" ht="15" hidden="false" customHeight="false" outlineLevel="0" collapsed="false">
      <c r="A164" s="2" t="s">
        <v>365</v>
      </c>
      <c r="B164" s="3" t="n">
        <v>45676</v>
      </c>
      <c r="C164" s="3" t="n">
        <v>45736</v>
      </c>
      <c r="D164" s="4" t="s">
        <v>12</v>
      </c>
      <c r="E164" s="5" t="s">
        <v>99</v>
      </c>
      <c r="F164" s="5" t="s">
        <v>104</v>
      </c>
      <c r="G164" s="6" t="s">
        <v>121</v>
      </c>
      <c r="H164" s="7" t="n">
        <v>12077.16</v>
      </c>
      <c r="I164" s="8" t="s">
        <v>16</v>
      </c>
      <c r="J164" s="5" t="s">
        <v>231</v>
      </c>
      <c r="K164" s="5" t="s">
        <v>35</v>
      </c>
    </row>
    <row r="165" customFormat="false" ht="15" hidden="false" customHeight="false" outlineLevel="0" collapsed="false">
      <c r="A165" s="9" t="s">
        <v>366</v>
      </c>
      <c r="B165" s="10" t="n">
        <v>45678</v>
      </c>
      <c r="C165" s="10" t="n">
        <v>45708</v>
      </c>
      <c r="D165" s="11" t="s">
        <v>12</v>
      </c>
      <c r="E165" s="12" t="s">
        <v>47</v>
      </c>
      <c r="F165" s="12" t="s">
        <v>198</v>
      </c>
      <c r="G165" s="13" t="s">
        <v>367</v>
      </c>
      <c r="H165" s="14" t="n">
        <v>17913.42</v>
      </c>
      <c r="I165" s="15" t="s">
        <v>22</v>
      </c>
      <c r="J165" s="12" t="s">
        <v>68</v>
      </c>
      <c r="K165" s="12" t="s">
        <v>35</v>
      </c>
    </row>
    <row r="166" customFormat="false" ht="15" hidden="false" customHeight="false" outlineLevel="0" collapsed="false">
      <c r="A166" s="16" t="s">
        <v>368</v>
      </c>
      <c r="B166" s="17" t="n">
        <v>45680</v>
      </c>
      <c r="C166" s="17" t="n">
        <v>45740</v>
      </c>
      <c r="D166" s="8" t="s">
        <v>25</v>
      </c>
      <c r="E166" s="18" t="s">
        <v>202</v>
      </c>
      <c r="F166" s="18" t="s">
        <v>52</v>
      </c>
      <c r="G166" s="19" t="s">
        <v>203</v>
      </c>
      <c r="H166" s="20" t="n">
        <v>2880.71</v>
      </c>
      <c r="I166" s="8" t="s">
        <v>16</v>
      </c>
      <c r="J166" s="18" t="s">
        <v>231</v>
      </c>
      <c r="K166" s="18" t="s">
        <v>89</v>
      </c>
    </row>
    <row r="167" customFormat="false" ht="15" hidden="false" customHeight="false" outlineLevel="0" collapsed="false">
      <c r="A167" s="21" t="s">
        <v>369</v>
      </c>
      <c r="B167" s="22" t="n">
        <v>45681</v>
      </c>
      <c r="C167" s="22" t="n">
        <v>45696</v>
      </c>
      <c r="D167" s="23" t="s">
        <v>25</v>
      </c>
      <c r="E167" s="24" t="s">
        <v>202</v>
      </c>
      <c r="F167" s="24" t="s">
        <v>32</v>
      </c>
      <c r="G167" s="25" t="s">
        <v>203</v>
      </c>
      <c r="H167" s="26" t="n">
        <v>52815.08</v>
      </c>
      <c r="I167" s="8" t="s">
        <v>16</v>
      </c>
      <c r="J167" s="24" t="s">
        <v>72</v>
      </c>
      <c r="K167" s="24" t="s">
        <v>45</v>
      </c>
    </row>
    <row r="168" customFormat="false" ht="15" hidden="false" customHeight="false" outlineLevel="0" collapsed="false">
      <c r="A168" s="2" t="s">
        <v>370</v>
      </c>
      <c r="B168" s="3" t="n">
        <v>45682</v>
      </c>
      <c r="C168" s="3" t="n">
        <v>45712</v>
      </c>
      <c r="D168" s="4" t="s">
        <v>12</v>
      </c>
      <c r="E168" s="5" t="s">
        <v>138</v>
      </c>
      <c r="F168" s="5" t="s">
        <v>65</v>
      </c>
      <c r="G168" s="6" t="s">
        <v>371</v>
      </c>
      <c r="H168" s="7" t="n">
        <v>2049.43</v>
      </c>
      <c r="I168" s="15" t="s">
        <v>22</v>
      </c>
      <c r="J168" s="5" t="s">
        <v>63</v>
      </c>
      <c r="K168" s="5"/>
    </row>
    <row r="169" customFormat="false" ht="15" hidden="false" customHeight="false" outlineLevel="0" collapsed="false">
      <c r="A169" s="21" t="s">
        <v>372</v>
      </c>
      <c r="B169" s="22" t="n">
        <v>45685</v>
      </c>
      <c r="C169" s="22" t="n">
        <v>45730</v>
      </c>
      <c r="D169" s="23" t="s">
        <v>25</v>
      </c>
      <c r="E169" s="24" t="s">
        <v>91</v>
      </c>
      <c r="F169" s="24" t="s">
        <v>142</v>
      </c>
      <c r="G169" s="25" t="s">
        <v>93</v>
      </c>
      <c r="H169" s="26" t="n">
        <v>40740.83</v>
      </c>
      <c r="I169" s="8" t="s">
        <v>16</v>
      </c>
      <c r="J169" s="24" t="s">
        <v>88</v>
      </c>
      <c r="K169" s="24" t="s">
        <v>23</v>
      </c>
    </row>
    <row r="170" customFormat="false" ht="15" hidden="false" customHeight="false" outlineLevel="0" collapsed="false">
      <c r="A170" s="2" t="s">
        <v>373</v>
      </c>
      <c r="B170" s="3" t="n">
        <v>45686</v>
      </c>
      <c r="C170" s="3" t="n">
        <v>45716</v>
      </c>
      <c r="D170" s="4" t="s">
        <v>12</v>
      </c>
      <c r="E170" s="5" t="s">
        <v>47</v>
      </c>
      <c r="F170" s="5" t="s">
        <v>139</v>
      </c>
      <c r="G170" s="6" t="s">
        <v>374</v>
      </c>
      <c r="H170" s="7" t="n">
        <v>13380.97</v>
      </c>
      <c r="I170" s="15" t="s">
        <v>22</v>
      </c>
      <c r="J170" s="5" t="s">
        <v>111</v>
      </c>
      <c r="K170" s="5" t="s">
        <v>58</v>
      </c>
    </row>
    <row r="171" customFormat="false" ht="15" hidden="false" customHeight="false" outlineLevel="0" collapsed="false">
      <c r="A171" s="9" t="s">
        <v>375</v>
      </c>
      <c r="B171" s="10" t="n">
        <v>45686</v>
      </c>
      <c r="C171" s="10" t="n">
        <v>45701</v>
      </c>
      <c r="D171" s="11" t="s">
        <v>12</v>
      </c>
      <c r="E171" s="12" t="s">
        <v>99</v>
      </c>
      <c r="F171" s="12" t="s">
        <v>198</v>
      </c>
      <c r="G171" s="13" t="s">
        <v>376</v>
      </c>
      <c r="H171" s="14" t="n">
        <v>8664.09</v>
      </c>
      <c r="I171" s="8" t="s">
        <v>16</v>
      </c>
      <c r="J171" s="12" t="s">
        <v>63</v>
      </c>
      <c r="K171" s="12" t="s">
        <v>58</v>
      </c>
    </row>
    <row r="172" customFormat="false" ht="15" hidden="false" customHeight="false" outlineLevel="0" collapsed="false">
      <c r="A172" s="16" t="s">
        <v>377</v>
      </c>
      <c r="B172" s="17" t="n">
        <v>45687</v>
      </c>
      <c r="C172" s="17" t="n">
        <v>45747</v>
      </c>
      <c r="D172" s="8" t="s">
        <v>25</v>
      </c>
      <c r="E172" s="18" t="s">
        <v>202</v>
      </c>
      <c r="F172" s="18" t="s">
        <v>27</v>
      </c>
      <c r="G172" s="19" t="s">
        <v>203</v>
      </c>
      <c r="H172" s="20" t="n">
        <v>57591.09</v>
      </c>
      <c r="I172" s="15" t="s">
        <v>22</v>
      </c>
      <c r="J172" s="18" t="s">
        <v>213</v>
      </c>
      <c r="K172" s="18" t="s">
        <v>45</v>
      </c>
    </row>
    <row r="173" customFormat="false" ht="15" hidden="false" customHeight="false" outlineLevel="0" collapsed="false">
      <c r="A173" s="9" t="s">
        <v>378</v>
      </c>
      <c r="B173" s="10" t="n">
        <v>45693</v>
      </c>
      <c r="C173" s="10" t="n">
        <v>45753</v>
      </c>
      <c r="D173" s="11" t="s">
        <v>12</v>
      </c>
      <c r="E173" s="12" t="s">
        <v>47</v>
      </c>
      <c r="F173" s="12" t="s">
        <v>205</v>
      </c>
      <c r="G173" s="13" t="s">
        <v>379</v>
      </c>
      <c r="H173" s="14" t="n">
        <v>12584.16</v>
      </c>
      <c r="I173" s="15" t="s">
        <v>22</v>
      </c>
      <c r="J173" s="12" t="s">
        <v>143</v>
      </c>
      <c r="K173" s="12"/>
    </row>
    <row r="174" customFormat="false" ht="15" hidden="false" customHeight="false" outlineLevel="0" collapsed="false">
      <c r="A174" s="2" t="s">
        <v>380</v>
      </c>
      <c r="B174" s="3" t="n">
        <v>45694</v>
      </c>
      <c r="C174" s="3" t="n">
        <v>45739</v>
      </c>
      <c r="D174" s="4" t="s">
        <v>12</v>
      </c>
      <c r="E174" s="5" t="s">
        <v>55</v>
      </c>
      <c r="F174" s="5" t="s">
        <v>182</v>
      </c>
      <c r="G174" s="6" t="s">
        <v>381</v>
      </c>
      <c r="H174" s="7" t="n">
        <v>8042.55</v>
      </c>
      <c r="I174" s="8" t="s">
        <v>16</v>
      </c>
      <c r="J174" s="5" t="s">
        <v>130</v>
      </c>
      <c r="K174" s="5" t="s">
        <v>35</v>
      </c>
    </row>
    <row r="175" customFormat="false" ht="15" hidden="false" customHeight="false" outlineLevel="0" collapsed="false">
      <c r="A175" s="9" t="s">
        <v>382</v>
      </c>
      <c r="B175" s="10" t="n">
        <v>45695</v>
      </c>
      <c r="C175" s="10" t="n">
        <v>45725</v>
      </c>
      <c r="D175" s="11" t="s">
        <v>12</v>
      </c>
      <c r="E175" s="12" t="s">
        <v>179</v>
      </c>
      <c r="F175" s="12" t="s">
        <v>241</v>
      </c>
      <c r="G175" s="13" t="s">
        <v>383</v>
      </c>
      <c r="H175" s="14" t="n">
        <v>9870.44</v>
      </c>
      <c r="I175" s="15" t="s">
        <v>22</v>
      </c>
      <c r="J175" s="12" t="s">
        <v>136</v>
      </c>
      <c r="K175" s="12" t="s">
        <v>89</v>
      </c>
    </row>
    <row r="176" customFormat="false" ht="15" hidden="false" customHeight="false" outlineLevel="0" collapsed="false">
      <c r="A176" s="16" t="s">
        <v>384</v>
      </c>
      <c r="B176" s="17" t="n">
        <v>45695</v>
      </c>
      <c r="C176" s="17" t="n">
        <v>45755</v>
      </c>
      <c r="D176" s="8" t="s">
        <v>25</v>
      </c>
      <c r="E176" s="18" t="s">
        <v>148</v>
      </c>
      <c r="F176" s="18" t="s">
        <v>27</v>
      </c>
      <c r="G176" s="19" t="s">
        <v>150</v>
      </c>
      <c r="H176" s="20" t="n">
        <v>28952.44</v>
      </c>
      <c r="I176" s="8" t="s">
        <v>16</v>
      </c>
      <c r="J176" s="18" t="s">
        <v>50</v>
      </c>
      <c r="K176" s="18" t="s">
        <v>89</v>
      </c>
    </row>
    <row r="177" customFormat="false" ht="15" hidden="false" customHeight="false" outlineLevel="0" collapsed="false">
      <c r="A177" s="9" t="s">
        <v>385</v>
      </c>
      <c r="B177" s="10" t="n">
        <v>45702</v>
      </c>
      <c r="C177" s="10" t="n">
        <v>45732</v>
      </c>
      <c r="D177" s="11" t="s">
        <v>12</v>
      </c>
      <c r="E177" s="12" t="s">
        <v>47</v>
      </c>
      <c r="F177" s="12" t="s">
        <v>139</v>
      </c>
      <c r="G177" s="13" t="s">
        <v>374</v>
      </c>
      <c r="H177" s="14" t="n">
        <v>14204.63</v>
      </c>
      <c r="I177" s="8" t="s">
        <v>16</v>
      </c>
      <c r="J177" s="12" t="s">
        <v>254</v>
      </c>
      <c r="K177" s="12" t="s">
        <v>18</v>
      </c>
    </row>
    <row r="178" customFormat="false" ht="15" hidden="false" customHeight="false" outlineLevel="0" collapsed="false">
      <c r="A178" s="16" t="s">
        <v>386</v>
      </c>
      <c r="B178" s="17" t="n">
        <v>45703</v>
      </c>
      <c r="C178" s="17" t="n">
        <v>45718</v>
      </c>
      <c r="D178" s="8" t="s">
        <v>25</v>
      </c>
      <c r="E178" s="18" t="s">
        <v>202</v>
      </c>
      <c r="F178" s="18" t="s">
        <v>79</v>
      </c>
      <c r="G178" s="19" t="s">
        <v>203</v>
      </c>
      <c r="H178" s="20" t="n">
        <v>12704.88</v>
      </c>
      <c r="I178" s="8" t="s">
        <v>16</v>
      </c>
      <c r="J178" s="18" t="s">
        <v>77</v>
      </c>
      <c r="K178" s="18" t="s">
        <v>58</v>
      </c>
    </row>
    <row r="179" customFormat="false" ht="15" hidden="false" customHeight="false" outlineLevel="0" collapsed="false">
      <c r="A179" s="21" t="s">
        <v>387</v>
      </c>
      <c r="B179" s="22" t="n">
        <v>45706</v>
      </c>
      <c r="C179" s="22" t="n">
        <v>45736</v>
      </c>
      <c r="D179" s="23" t="s">
        <v>25</v>
      </c>
      <c r="E179" s="24" t="s">
        <v>60</v>
      </c>
      <c r="F179" s="24" t="s">
        <v>52</v>
      </c>
      <c r="G179" s="25" t="s">
        <v>62</v>
      </c>
      <c r="H179" s="26" t="n">
        <v>36983.1</v>
      </c>
      <c r="I179" s="8" t="s">
        <v>16</v>
      </c>
      <c r="J179" s="24" t="s">
        <v>72</v>
      </c>
      <c r="K179" s="24" t="s">
        <v>35</v>
      </c>
    </row>
    <row r="180" customFormat="false" ht="15" hidden="false" customHeight="false" outlineLevel="0" collapsed="false">
      <c r="A180" s="16" t="s">
        <v>388</v>
      </c>
      <c r="B180" s="17" t="n">
        <v>45707</v>
      </c>
      <c r="C180" s="17" t="n">
        <v>45752</v>
      </c>
      <c r="D180" s="8" t="s">
        <v>25</v>
      </c>
      <c r="E180" s="18" t="s">
        <v>70</v>
      </c>
      <c r="F180" s="18" t="s">
        <v>142</v>
      </c>
      <c r="G180" s="19" t="s">
        <v>71</v>
      </c>
      <c r="H180" s="20" t="n">
        <v>49344.21</v>
      </c>
      <c r="I180" s="8" t="s">
        <v>16</v>
      </c>
      <c r="J180" s="18" t="s">
        <v>195</v>
      </c>
      <c r="K180" s="18" t="s">
        <v>35</v>
      </c>
    </row>
    <row r="181" customFormat="false" ht="15" hidden="false" customHeight="false" outlineLevel="0" collapsed="false">
      <c r="A181" s="9" t="s">
        <v>389</v>
      </c>
      <c r="B181" s="10" t="n">
        <v>45708</v>
      </c>
      <c r="C181" s="10" t="n">
        <v>45768</v>
      </c>
      <c r="D181" s="11" t="s">
        <v>12</v>
      </c>
      <c r="E181" s="12" t="s">
        <v>13</v>
      </c>
      <c r="F181" s="12" t="s">
        <v>390</v>
      </c>
      <c r="G181" s="13" t="s">
        <v>391</v>
      </c>
      <c r="H181" s="14" t="n">
        <v>6361.1</v>
      </c>
      <c r="I181" s="8" t="s">
        <v>16</v>
      </c>
      <c r="J181" s="12" t="s">
        <v>262</v>
      </c>
      <c r="K181" s="12" t="s">
        <v>41</v>
      </c>
    </row>
    <row r="182" customFormat="false" ht="15" hidden="false" customHeight="false" outlineLevel="0" collapsed="false">
      <c r="A182" s="16" t="s">
        <v>392</v>
      </c>
      <c r="B182" s="17" t="n">
        <v>45712</v>
      </c>
      <c r="C182" s="17" t="n">
        <v>45727</v>
      </c>
      <c r="D182" s="8" t="s">
        <v>25</v>
      </c>
      <c r="E182" s="18" t="s">
        <v>31</v>
      </c>
      <c r="F182" s="18" t="s">
        <v>38</v>
      </c>
      <c r="G182" s="19" t="s">
        <v>33</v>
      </c>
      <c r="H182" s="20" t="n">
        <v>63217</v>
      </c>
      <c r="I182" s="15" t="s">
        <v>22</v>
      </c>
      <c r="J182" s="18" t="s">
        <v>213</v>
      </c>
      <c r="K182" s="18" t="s">
        <v>35</v>
      </c>
    </row>
    <row r="183" customFormat="false" ht="15" hidden="false" customHeight="false" outlineLevel="0" collapsed="false">
      <c r="A183" s="21" t="s">
        <v>393</v>
      </c>
      <c r="B183" s="22" t="n">
        <v>45716</v>
      </c>
      <c r="C183" s="22" t="n">
        <v>45746</v>
      </c>
      <c r="D183" s="23" t="s">
        <v>25</v>
      </c>
      <c r="E183" s="24" t="s">
        <v>26</v>
      </c>
      <c r="F183" s="24" t="s">
        <v>61</v>
      </c>
      <c r="G183" s="25" t="s">
        <v>28</v>
      </c>
      <c r="H183" s="26" t="n">
        <v>26320.57</v>
      </c>
      <c r="I183" s="8" t="s">
        <v>16</v>
      </c>
      <c r="J183" s="24" t="s">
        <v>143</v>
      </c>
      <c r="K183" s="24" t="s">
        <v>18</v>
      </c>
    </row>
    <row r="184" customFormat="false" ht="15" hidden="false" customHeight="false" outlineLevel="0" collapsed="false">
      <c r="A184" s="16" t="s">
        <v>394</v>
      </c>
      <c r="B184" s="17" t="n">
        <v>45717</v>
      </c>
      <c r="C184" s="17" t="n">
        <v>45777</v>
      </c>
      <c r="D184" s="8" t="s">
        <v>25</v>
      </c>
      <c r="E184" s="18" t="s">
        <v>70</v>
      </c>
      <c r="F184" s="18" t="s">
        <v>61</v>
      </c>
      <c r="G184" s="19" t="s">
        <v>71</v>
      </c>
      <c r="H184" s="20" t="n">
        <v>61710.99</v>
      </c>
      <c r="I184" s="8" t="s">
        <v>16</v>
      </c>
      <c r="J184" s="18" t="s">
        <v>151</v>
      </c>
      <c r="K184" s="18" t="s">
        <v>18</v>
      </c>
    </row>
    <row r="185" customFormat="false" ht="15" hidden="false" customHeight="false" outlineLevel="0" collapsed="false">
      <c r="A185" s="9" t="s">
        <v>395</v>
      </c>
      <c r="B185" s="10" t="n">
        <v>45719</v>
      </c>
      <c r="C185" s="10" t="n">
        <v>45734</v>
      </c>
      <c r="D185" s="11" t="s">
        <v>12</v>
      </c>
      <c r="E185" s="12" t="s">
        <v>55</v>
      </c>
      <c r="F185" s="12" t="s">
        <v>160</v>
      </c>
      <c r="G185" s="13" t="s">
        <v>396</v>
      </c>
      <c r="H185" s="14" t="n">
        <v>13520.08</v>
      </c>
      <c r="I185" s="8" t="s">
        <v>16</v>
      </c>
      <c r="J185" s="12" t="s">
        <v>68</v>
      </c>
      <c r="K185" s="12" t="s">
        <v>23</v>
      </c>
    </row>
    <row r="186" customFormat="false" ht="15" hidden="false" customHeight="false" outlineLevel="0" collapsed="false">
      <c r="A186" s="16" t="s">
        <v>397</v>
      </c>
      <c r="B186" s="17" t="n">
        <v>45719</v>
      </c>
      <c r="C186" s="17" t="n">
        <v>45749</v>
      </c>
      <c r="D186" s="8" t="s">
        <v>25</v>
      </c>
      <c r="E186" s="18" t="s">
        <v>91</v>
      </c>
      <c r="F186" s="18" t="s">
        <v>223</v>
      </c>
      <c r="G186" s="19" t="s">
        <v>93</v>
      </c>
      <c r="H186" s="20" t="n">
        <v>58772.52</v>
      </c>
      <c r="I186" s="8" t="s">
        <v>16</v>
      </c>
      <c r="J186" s="18" t="s">
        <v>63</v>
      </c>
      <c r="K186" s="18" t="s">
        <v>41</v>
      </c>
    </row>
    <row r="187" customFormat="false" ht="15" hidden="false" customHeight="false" outlineLevel="0" collapsed="false">
      <c r="A187" s="21" t="s">
        <v>398</v>
      </c>
      <c r="B187" s="22" t="n">
        <v>45722</v>
      </c>
      <c r="C187" s="22" t="n">
        <v>45737</v>
      </c>
      <c r="D187" s="23" t="s">
        <v>25</v>
      </c>
      <c r="E187" s="24" t="s">
        <v>202</v>
      </c>
      <c r="F187" s="24" t="s">
        <v>223</v>
      </c>
      <c r="G187" s="25" t="s">
        <v>203</v>
      </c>
      <c r="H187" s="26" t="n">
        <v>49458.95</v>
      </c>
      <c r="I187" s="8" t="s">
        <v>16</v>
      </c>
      <c r="J187" s="24" t="s">
        <v>190</v>
      </c>
      <c r="K187" s="24" t="s">
        <v>89</v>
      </c>
    </row>
    <row r="188" customFormat="false" ht="15" hidden="false" customHeight="false" outlineLevel="0" collapsed="false">
      <c r="A188" s="16" t="s">
        <v>399</v>
      </c>
      <c r="B188" s="17" t="n">
        <v>45724</v>
      </c>
      <c r="C188" s="17" t="n">
        <v>45739</v>
      </c>
      <c r="D188" s="8" t="s">
        <v>25</v>
      </c>
      <c r="E188" s="18" t="s">
        <v>31</v>
      </c>
      <c r="F188" s="18" t="s">
        <v>253</v>
      </c>
      <c r="G188" s="19" t="s">
        <v>33</v>
      </c>
      <c r="H188" s="20" t="n">
        <v>15580.17</v>
      </c>
      <c r="I188" s="15" t="s">
        <v>22</v>
      </c>
      <c r="J188" s="18" t="s">
        <v>34</v>
      </c>
      <c r="K188" s="18" t="s">
        <v>89</v>
      </c>
    </row>
    <row r="189" customFormat="false" ht="15" hidden="false" customHeight="false" outlineLevel="0" collapsed="false">
      <c r="A189" s="21" t="s">
        <v>400</v>
      </c>
      <c r="B189" s="22" t="n">
        <v>45725</v>
      </c>
      <c r="C189" s="22" t="n">
        <v>45785</v>
      </c>
      <c r="D189" s="23" t="s">
        <v>25</v>
      </c>
      <c r="E189" s="24" t="s">
        <v>91</v>
      </c>
      <c r="F189" s="24" t="s">
        <v>223</v>
      </c>
      <c r="G189" s="25" t="s">
        <v>93</v>
      </c>
      <c r="H189" s="26" t="n">
        <v>38044.49</v>
      </c>
      <c r="I189" s="15" t="s">
        <v>22</v>
      </c>
      <c r="J189" s="24" t="s">
        <v>50</v>
      </c>
      <c r="K189" s="24" t="s">
        <v>41</v>
      </c>
    </row>
    <row r="190" customFormat="false" ht="15" hidden="false" customHeight="false" outlineLevel="0" collapsed="false">
      <c r="A190" s="16" t="s">
        <v>401</v>
      </c>
      <c r="B190" s="17" t="n">
        <v>45725</v>
      </c>
      <c r="C190" s="17" t="n">
        <v>45740</v>
      </c>
      <c r="D190" s="8" t="s">
        <v>25</v>
      </c>
      <c r="E190" s="18" t="s">
        <v>60</v>
      </c>
      <c r="F190" s="18" t="s">
        <v>402</v>
      </c>
      <c r="G190" s="19" t="s">
        <v>62</v>
      </c>
      <c r="H190" s="20" t="n">
        <v>29148.18</v>
      </c>
      <c r="I190" s="8" t="s">
        <v>16</v>
      </c>
      <c r="J190" s="18" t="s">
        <v>287</v>
      </c>
      <c r="K190" s="18" t="s">
        <v>23</v>
      </c>
    </row>
    <row r="191" customFormat="false" ht="15" hidden="false" customHeight="false" outlineLevel="0" collapsed="false">
      <c r="A191" s="9" t="s">
        <v>403</v>
      </c>
      <c r="B191" s="10" t="n">
        <v>45726</v>
      </c>
      <c r="C191" s="10" t="n">
        <v>45741</v>
      </c>
      <c r="D191" s="11" t="s">
        <v>12</v>
      </c>
      <c r="E191" s="12" t="s">
        <v>47</v>
      </c>
      <c r="F191" s="12" t="s">
        <v>56</v>
      </c>
      <c r="G191" s="13" t="s">
        <v>339</v>
      </c>
      <c r="H191" s="14" t="n">
        <v>5670.73</v>
      </c>
      <c r="I191" s="15" t="s">
        <v>22</v>
      </c>
      <c r="J191" s="12" t="s">
        <v>262</v>
      </c>
      <c r="K191" s="12" t="s">
        <v>58</v>
      </c>
    </row>
    <row r="192" customFormat="false" ht="15" hidden="false" customHeight="false" outlineLevel="0" collapsed="false">
      <c r="A192" s="16" t="s">
        <v>404</v>
      </c>
      <c r="B192" s="17" t="n">
        <v>45727</v>
      </c>
      <c r="C192" s="17" t="n">
        <v>45742</v>
      </c>
      <c r="D192" s="8" t="s">
        <v>25</v>
      </c>
      <c r="E192" s="18" t="s">
        <v>31</v>
      </c>
      <c r="F192" s="18" t="s">
        <v>79</v>
      </c>
      <c r="G192" s="19" t="s">
        <v>33</v>
      </c>
      <c r="H192" s="20" t="n">
        <v>57825.97</v>
      </c>
      <c r="I192" s="8" t="s">
        <v>16</v>
      </c>
      <c r="J192" s="18" t="s">
        <v>165</v>
      </c>
      <c r="K192" s="18"/>
    </row>
    <row r="193" customFormat="false" ht="15" hidden="false" customHeight="false" outlineLevel="0" collapsed="false">
      <c r="A193" s="21" t="s">
        <v>405</v>
      </c>
      <c r="B193" s="22" t="n">
        <v>45731</v>
      </c>
      <c r="C193" s="22" t="n">
        <v>45761</v>
      </c>
      <c r="D193" s="23" t="s">
        <v>25</v>
      </c>
      <c r="E193" s="24" t="s">
        <v>37</v>
      </c>
      <c r="F193" s="24" t="s">
        <v>402</v>
      </c>
      <c r="G193" s="25" t="s">
        <v>39</v>
      </c>
      <c r="H193" s="26" t="n">
        <v>20672.43</v>
      </c>
      <c r="I193" s="8" t="s">
        <v>16</v>
      </c>
      <c r="J193" s="24" t="s">
        <v>117</v>
      </c>
      <c r="K193" s="24" t="s">
        <v>18</v>
      </c>
    </row>
    <row r="194" customFormat="false" ht="15" hidden="false" customHeight="false" outlineLevel="0" collapsed="false">
      <c r="A194" s="2" t="s">
        <v>406</v>
      </c>
      <c r="B194" s="3" t="n">
        <v>45732</v>
      </c>
      <c r="C194" s="3" t="n">
        <v>45747</v>
      </c>
      <c r="D194" s="4" t="s">
        <v>12</v>
      </c>
      <c r="E194" s="5" t="s">
        <v>13</v>
      </c>
      <c r="F194" s="5" t="s">
        <v>174</v>
      </c>
      <c r="G194" s="6" t="s">
        <v>407</v>
      </c>
      <c r="H194" s="7" t="n">
        <v>15943.47</v>
      </c>
      <c r="I194" s="8" t="s">
        <v>16</v>
      </c>
      <c r="J194" s="5" t="s">
        <v>34</v>
      </c>
      <c r="K194" s="5" t="s">
        <v>45</v>
      </c>
    </row>
    <row r="195" customFormat="false" ht="15" hidden="false" customHeight="false" outlineLevel="0" collapsed="false">
      <c r="A195" s="9" t="s">
        <v>408</v>
      </c>
      <c r="B195" s="10" t="n">
        <v>45732</v>
      </c>
      <c r="C195" s="10" t="n">
        <v>45777</v>
      </c>
      <c r="D195" s="11" t="s">
        <v>12</v>
      </c>
      <c r="E195" s="12" t="s">
        <v>13</v>
      </c>
      <c r="F195" s="12" t="s">
        <v>56</v>
      </c>
      <c r="G195" s="13" t="s">
        <v>409</v>
      </c>
      <c r="H195" s="14" t="n">
        <v>4398.38</v>
      </c>
      <c r="I195" s="15" t="s">
        <v>22</v>
      </c>
      <c r="J195" s="12" t="s">
        <v>190</v>
      </c>
      <c r="K195" s="12" t="s">
        <v>23</v>
      </c>
    </row>
    <row r="196" customFormat="false" ht="15" hidden="false" customHeight="false" outlineLevel="0" collapsed="false">
      <c r="A196" s="2" t="s">
        <v>410</v>
      </c>
      <c r="B196" s="3" t="n">
        <v>45734</v>
      </c>
      <c r="C196" s="3" t="n">
        <v>45764</v>
      </c>
      <c r="D196" s="4" t="s">
        <v>12</v>
      </c>
      <c r="E196" s="5" t="s">
        <v>74</v>
      </c>
      <c r="F196" s="5" t="s">
        <v>14</v>
      </c>
      <c r="G196" s="6" t="s">
        <v>411</v>
      </c>
      <c r="H196" s="7" t="n">
        <v>7509.46</v>
      </c>
      <c r="I196" s="8" t="s">
        <v>16</v>
      </c>
      <c r="J196" s="5" t="s">
        <v>80</v>
      </c>
      <c r="K196" s="5" t="s">
        <v>45</v>
      </c>
    </row>
    <row r="197" customFormat="false" ht="15" hidden="false" customHeight="false" outlineLevel="0" collapsed="false">
      <c r="A197" s="21" t="s">
        <v>412</v>
      </c>
      <c r="B197" s="22" t="n">
        <v>45737</v>
      </c>
      <c r="C197" s="22" t="n">
        <v>45767</v>
      </c>
      <c r="D197" s="23" t="s">
        <v>25</v>
      </c>
      <c r="E197" s="24" t="s">
        <v>26</v>
      </c>
      <c r="F197" s="24" t="s">
        <v>27</v>
      </c>
      <c r="G197" s="25" t="s">
        <v>28</v>
      </c>
      <c r="H197" s="26" t="n">
        <v>30265.39</v>
      </c>
      <c r="I197" s="15" t="s">
        <v>22</v>
      </c>
      <c r="J197" s="24" t="s">
        <v>72</v>
      </c>
      <c r="K197" s="24" t="s">
        <v>45</v>
      </c>
    </row>
    <row r="198" customFormat="false" ht="15" hidden="false" customHeight="false" outlineLevel="0" collapsed="false">
      <c r="A198" s="16" t="s">
        <v>413</v>
      </c>
      <c r="B198" s="17" t="n">
        <v>45737</v>
      </c>
      <c r="C198" s="17" t="n">
        <v>45767</v>
      </c>
      <c r="D198" s="8" t="s">
        <v>25</v>
      </c>
      <c r="E198" s="18" t="s">
        <v>70</v>
      </c>
      <c r="F198" s="18" t="s">
        <v>149</v>
      </c>
      <c r="G198" s="19" t="s">
        <v>71</v>
      </c>
      <c r="H198" s="20" t="n">
        <v>59160.58</v>
      </c>
      <c r="I198" s="8" t="s">
        <v>16</v>
      </c>
      <c r="J198" s="18" t="s">
        <v>262</v>
      </c>
      <c r="K198" s="18" t="s">
        <v>58</v>
      </c>
    </row>
    <row r="199" customFormat="false" ht="15" hidden="false" customHeight="false" outlineLevel="0" collapsed="false">
      <c r="A199" s="9" t="s">
        <v>414</v>
      </c>
      <c r="B199" s="10" t="n">
        <v>45738</v>
      </c>
      <c r="C199" s="10" t="n">
        <v>45753</v>
      </c>
      <c r="D199" s="11" t="s">
        <v>12</v>
      </c>
      <c r="E199" s="12" t="s">
        <v>99</v>
      </c>
      <c r="F199" s="12" t="s">
        <v>157</v>
      </c>
      <c r="G199" s="13" t="s">
        <v>415</v>
      </c>
      <c r="H199" s="14" t="n">
        <v>8528.74</v>
      </c>
      <c r="I199" s="15" t="s">
        <v>22</v>
      </c>
      <c r="J199" s="12" t="s">
        <v>262</v>
      </c>
      <c r="K199" s="12" t="s">
        <v>53</v>
      </c>
    </row>
    <row r="200" customFormat="false" ht="15" hidden="false" customHeight="false" outlineLevel="0" collapsed="false">
      <c r="A200" s="2" t="s">
        <v>416</v>
      </c>
      <c r="B200" s="3" t="n">
        <v>45741</v>
      </c>
      <c r="C200" s="3" t="n">
        <v>45756</v>
      </c>
      <c r="D200" s="4" t="s">
        <v>12</v>
      </c>
      <c r="E200" s="5" t="s">
        <v>13</v>
      </c>
      <c r="F200" s="5" t="s">
        <v>113</v>
      </c>
      <c r="G200" s="6" t="s">
        <v>417</v>
      </c>
      <c r="H200" s="7" t="n">
        <v>8824.93</v>
      </c>
      <c r="I200" s="8" t="s">
        <v>16</v>
      </c>
      <c r="J200" s="5" t="s">
        <v>34</v>
      </c>
      <c r="K200" s="5"/>
    </row>
    <row r="201" customFormat="false" ht="15" hidden="false" customHeight="false" outlineLevel="0" collapsed="false">
      <c r="A201" s="21" t="s">
        <v>418</v>
      </c>
      <c r="B201" s="22" t="n">
        <v>45744</v>
      </c>
      <c r="C201" s="22" t="n">
        <v>45789</v>
      </c>
      <c r="D201" s="23" t="s">
        <v>25</v>
      </c>
      <c r="E201" s="24" t="s">
        <v>26</v>
      </c>
      <c r="F201" s="24" t="s">
        <v>79</v>
      </c>
      <c r="G201" s="25" t="s">
        <v>28</v>
      </c>
      <c r="H201" s="26" t="n">
        <v>48566.78</v>
      </c>
      <c r="I201" s="15" t="s">
        <v>22</v>
      </c>
      <c r="J201" s="24" t="s">
        <v>151</v>
      </c>
      <c r="K201" s="24" t="s">
        <v>89</v>
      </c>
    </row>
  </sheetData>
  <autoFilter ref="A1:K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27" t="s">
        <v>419</v>
      </c>
      <c r="B1" s="27"/>
      <c r="C1" s="27"/>
    </row>
    <row r="3" customFormat="false" ht="15" hidden="false" customHeight="false" outlineLevel="0" collapsed="false">
      <c r="A3" s="28" t="s">
        <v>420</v>
      </c>
      <c r="B3" s="28" t="s">
        <v>421</v>
      </c>
    </row>
    <row r="4" customFormat="false" ht="15" hidden="false" customHeight="false" outlineLevel="0" collapsed="false">
      <c r="A4" s="29" t="s">
        <v>422</v>
      </c>
      <c r="B4" s="30" t="n">
        <f aca="false">COUNTA(Transactions!A2:A201)</f>
        <v>200</v>
      </c>
    </row>
    <row r="5" customFormat="false" ht="15" hidden="false" customHeight="false" outlineLevel="0" collapsed="false">
      <c r="A5" s="31" t="s">
        <v>423</v>
      </c>
      <c r="B5" s="32" t="n">
        <f aca="false">COUNTIF(Transactions!D2:D201,"Expense")</f>
        <v>110</v>
      </c>
    </row>
    <row r="6" customFormat="false" ht="15" hidden="false" customHeight="false" outlineLevel="0" collapsed="false">
      <c r="A6" s="29" t="s">
        <v>424</v>
      </c>
      <c r="B6" s="30" t="n">
        <f aca="false">COUNTIF(Transactions!D2:D201,"Client Billing")</f>
        <v>90</v>
      </c>
    </row>
    <row r="7" customFormat="false" ht="15" hidden="false" customHeight="false" outlineLevel="0" collapsed="false">
      <c r="A7" s="31" t="s">
        <v>425</v>
      </c>
      <c r="B7" s="33" t="n">
        <f aca="false">SUMIF(Transactions!D2:D201,"Expense",Transactions!H2:H201)</f>
        <v>1004199.11</v>
      </c>
    </row>
    <row r="8" customFormat="false" ht="15" hidden="false" customHeight="false" outlineLevel="0" collapsed="false">
      <c r="A8" s="29" t="s">
        <v>426</v>
      </c>
      <c r="B8" s="34" t="n">
        <f aca="false">SUMIF(Transactions!D2:D201,"Client Billing",Transactions!H2:H201)</f>
        <v>3699040.97</v>
      </c>
    </row>
    <row r="9" customFormat="false" ht="15" hidden="false" customHeight="false" outlineLevel="0" collapsed="false">
      <c r="A9" s="31" t="s">
        <v>427</v>
      </c>
      <c r="B9" s="33" t="n">
        <f aca="false">B8-B7</f>
        <v>2694841.86</v>
      </c>
    </row>
    <row r="10" customFormat="false" ht="15" hidden="false" customHeight="false" outlineLevel="0" collapsed="false">
      <c r="A10" s="29" t="s">
        <v>428</v>
      </c>
      <c r="B10" s="30" t="n">
        <f aca="false">COUNTIF(Transactions!I2:I201,"Paid")</f>
        <v>105</v>
      </c>
    </row>
    <row r="11" customFormat="false" ht="15" hidden="false" customHeight="false" outlineLevel="0" collapsed="false">
      <c r="A11" s="31" t="s">
        <v>429</v>
      </c>
      <c r="B11" s="32" t="n">
        <f aca="false">COUNTIF(Transactions!I2:I201,"Pending")</f>
        <v>0</v>
      </c>
    </row>
    <row r="12" customFormat="false" ht="15" hidden="false" customHeight="false" outlineLevel="0" collapsed="false">
      <c r="A12" s="29" t="s">
        <v>430</v>
      </c>
      <c r="B12" s="34" t="n">
        <f aca="false">COUNTIF(Transactions!I2:I201,"Overdue")</f>
        <v>95</v>
      </c>
    </row>
    <row r="13" customFormat="false" ht="15" hidden="false" customHeight="false" outlineLevel="0" collapsed="false">
      <c r="A13" s="31" t="s">
        <v>431</v>
      </c>
      <c r="B13" s="33" t="n">
        <f aca="false">AVERAGEIF(Transactions!D2:D201,"Expense",Transactions!H2:H201)</f>
        <v>9129.08281818182</v>
      </c>
    </row>
    <row r="14" customFormat="false" ht="15" hidden="false" customHeight="false" outlineLevel="0" collapsed="false">
      <c r="A14" s="29" t="s">
        <v>432</v>
      </c>
      <c r="B14" s="34" t="n">
        <f aca="false">AVERAGEIF(Transactions!D2:D201,"Client Billing",Transactions!H2:H201)</f>
        <v>41100.4552222222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2026-04-20T17:29:37Z</dcterms:created>
  <dc:creator>openpyxl</dc:creator>
  <dc:description/>
  <dc:language>en-US</dc:language>
  <cp:lastModifiedBy/>
  <dcterms:modified xsi:type="dcterms:W3CDTF">2026-04-20T17:29:37Z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